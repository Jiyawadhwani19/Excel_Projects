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8D55B057-186C-45ED-82CD-10E956196927}" xr6:coauthVersionLast="47" xr6:coauthVersionMax="47" xr10:uidLastSave="{00000000-0000-0000-0000-000000000000}"/>
  <bookViews>
    <workbookView xWindow="-108" yWindow="-108" windowWidth="23256" windowHeight="12456" xr2:uid="{288AF8A0-83B0-41FB-AED2-2DCD818BD4DA}"/>
  </bookViews>
  <sheets>
    <sheet name="Student_Data" sheetId="1" r:id="rId1"/>
    <sheet name="Dashboards" sheetId="2" r:id="rId2"/>
  </sheets>
  <definedNames>
    <definedName name="_xlnm._FilterDatabase" localSheetId="0" hidden="1">Student_Data!$AM$3:$AS$14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ceoezZQd9+EZNOY2B31n0BoZJ15aDn2z7qsUFvB1Bs="/>
    </ext>
  </extLst>
</workbook>
</file>

<file path=xl/calcChain.xml><?xml version="1.0" encoding="utf-8"?>
<calcChain xmlns="http://schemas.openxmlformats.org/spreadsheetml/2006/main">
  <c r="H4" i="2" l="1"/>
  <c r="I4" i="2"/>
  <c r="A4" i="2"/>
  <c r="B12" i="2"/>
  <c r="B11" i="2"/>
  <c r="B10" i="2"/>
  <c r="B9" i="2"/>
  <c r="G4" i="2"/>
  <c r="F4" i="2"/>
  <c r="E4" i="2"/>
  <c r="D4" i="2"/>
  <c r="C4" i="2"/>
  <c r="B4" i="2"/>
  <c r="AL15" i="1"/>
  <c r="BA6" i="1"/>
  <c r="AZ6" i="1"/>
  <c r="AY6" i="1"/>
  <c r="AX6" i="1"/>
  <c r="AW6" i="1"/>
  <c r="AV6" i="1"/>
  <c r="AU6" i="1"/>
  <c r="AT6" i="1"/>
  <c r="BA5" i="1"/>
  <c r="AZ5" i="1"/>
  <c r="AY5" i="1"/>
  <c r="AX5" i="1"/>
  <c r="AW5" i="1"/>
  <c r="AV5" i="1"/>
  <c r="AU5" i="1"/>
  <c r="AT5" i="1"/>
  <c r="BA4" i="1"/>
  <c r="AZ4" i="1"/>
  <c r="AY4" i="1"/>
  <c r="AX4" i="1"/>
  <c r="AW4" i="1"/>
  <c r="AV4" i="1"/>
  <c r="AU4" i="1"/>
  <c r="AT4" i="1"/>
  <c r="BA3" i="1"/>
  <c r="AZ3" i="1"/>
  <c r="AY3" i="1"/>
  <c r="AX3" i="1"/>
  <c r="AW3" i="1"/>
  <c r="AV3" i="1"/>
  <c r="AU3" i="1"/>
  <c r="AT3" i="1"/>
  <c r="I13" i="1"/>
  <c r="J13" i="1"/>
  <c r="K13" i="1"/>
  <c r="L13" i="1"/>
  <c r="M13" i="1"/>
  <c r="N13" i="1"/>
  <c r="O13" i="1"/>
  <c r="P13" i="1"/>
  <c r="I14" i="1"/>
  <c r="J14" i="1"/>
  <c r="K14" i="1"/>
  <c r="L14" i="1"/>
  <c r="M14" i="1"/>
  <c r="N14" i="1"/>
  <c r="O14" i="1"/>
  <c r="P14" i="1"/>
  <c r="J19" i="1" a="1"/>
  <c r="I19" i="1" a="1"/>
  <c r="P4" i="1"/>
  <c r="P5" i="1"/>
  <c r="P6" i="1"/>
  <c r="P7" i="1"/>
  <c r="P8" i="1"/>
  <c r="P9" i="1"/>
  <c r="P10" i="1"/>
  <c r="P11" i="1"/>
  <c r="P12" i="1"/>
  <c r="P3" i="1"/>
  <c r="O4" i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E35" i="1"/>
  <c r="E31" i="1"/>
  <c r="E27" i="1"/>
  <c r="E23" i="1"/>
  <c r="E19" i="1"/>
  <c r="B36" i="1"/>
  <c r="B32" i="1"/>
  <c r="B26" i="1"/>
  <c r="B21" i="1"/>
  <c r="B18" i="1"/>
  <c r="T19" i="1" l="1" a="1"/>
  <c r="T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<sst xmlns="http://schemas.openxmlformats.org/spreadsheetml/2006/main" count="231" uniqueCount="115">
  <si>
    <t>Student ID</t>
  </si>
  <si>
    <t>Name</t>
  </si>
  <si>
    <t>Age</t>
  </si>
  <si>
    <t>Course</t>
  </si>
  <si>
    <t>City</t>
  </si>
  <si>
    <t>Marks</t>
  </si>
  <si>
    <t>Attendance %</t>
  </si>
  <si>
    <t>Fees Paid</t>
  </si>
  <si>
    <t>S101</t>
  </si>
  <si>
    <t>Aman</t>
  </si>
  <si>
    <t>MCA</t>
  </si>
  <si>
    <t>Pune</t>
  </si>
  <si>
    <t>Yes</t>
  </si>
  <si>
    <t>S102</t>
  </si>
  <si>
    <t>Priya</t>
  </si>
  <si>
    <t>Mumbai</t>
  </si>
  <si>
    <t>No</t>
  </si>
  <si>
    <t>S103</t>
  </si>
  <si>
    <t>Rohit</t>
  </si>
  <si>
    <t>Nashik</t>
  </si>
  <si>
    <t>S104</t>
  </si>
  <si>
    <t>Neha</t>
  </si>
  <si>
    <t>S105</t>
  </si>
  <si>
    <t>Rahul</t>
  </si>
  <si>
    <t>Nagpur</t>
  </si>
  <si>
    <t>S106</t>
  </si>
  <si>
    <t>Sneha</t>
  </si>
  <si>
    <t>S107</t>
  </si>
  <si>
    <t>Karan</t>
  </si>
  <si>
    <t>S108</t>
  </si>
  <si>
    <t>Pooja</t>
  </si>
  <si>
    <t>S109</t>
  </si>
  <si>
    <t>Vikas</t>
  </si>
  <si>
    <t>S110</t>
  </si>
  <si>
    <t>Riya</t>
  </si>
  <si>
    <t>S111</t>
  </si>
  <si>
    <t>S112</t>
  </si>
  <si>
    <t xml:space="preserve">No. of </t>
  </si>
  <si>
    <t>students =</t>
  </si>
  <si>
    <t>No. of uni-</t>
  </si>
  <si>
    <t>que cities =</t>
  </si>
  <si>
    <t>students</t>
  </si>
  <si>
    <t>who paid</t>
  </si>
  <si>
    <t>their fees =</t>
  </si>
  <si>
    <t>who haven't</t>
  </si>
  <si>
    <t>paid their</t>
  </si>
  <si>
    <t>fees =</t>
  </si>
  <si>
    <t xml:space="preserve">No. of  </t>
  </si>
  <si>
    <t>Que 1.</t>
  </si>
  <si>
    <t>Que 2.</t>
  </si>
  <si>
    <t>Que 3.</t>
  </si>
  <si>
    <t>Que 4.</t>
  </si>
  <si>
    <t>Que 5.</t>
  </si>
  <si>
    <t xml:space="preserve">students </t>
  </si>
  <si>
    <t>Que 6.</t>
  </si>
  <si>
    <t>from Pune =</t>
  </si>
  <si>
    <t>from Mumbai =</t>
  </si>
  <si>
    <t>No. of students</t>
  </si>
  <si>
    <t>with above 80%</t>
  </si>
  <si>
    <t xml:space="preserve">attendance = </t>
  </si>
  <si>
    <t>Que 7.</t>
  </si>
  <si>
    <t>Que 8.</t>
  </si>
  <si>
    <t>22 =</t>
  </si>
  <si>
    <t>with age above</t>
  </si>
  <si>
    <t>Que 9.</t>
  </si>
  <si>
    <t>who belong to</t>
  </si>
  <si>
    <t>MCA course =</t>
  </si>
  <si>
    <t>Que 10.</t>
  </si>
  <si>
    <t>Percentage of</t>
  </si>
  <si>
    <t xml:space="preserve">students who </t>
  </si>
  <si>
    <t xml:space="preserve">paid their fees = </t>
  </si>
  <si>
    <t>Exam Eligibility</t>
  </si>
  <si>
    <t>Fees Reminder</t>
  </si>
  <si>
    <t>Hostel Eligibility</t>
  </si>
  <si>
    <t>Adult Status</t>
  </si>
  <si>
    <t>Que 11.</t>
  </si>
  <si>
    <t>Que 12.</t>
  </si>
  <si>
    <t>Ques 13.</t>
  </si>
  <si>
    <t>Que 14.</t>
  </si>
  <si>
    <t>Que 15.</t>
  </si>
  <si>
    <t>Placement Training</t>
  </si>
  <si>
    <t>Que 16.</t>
  </si>
  <si>
    <t>Student Category</t>
  </si>
  <si>
    <t>Que 17.</t>
  </si>
  <si>
    <t>Priority Level</t>
  </si>
  <si>
    <t>Que 18.</t>
  </si>
  <si>
    <t>Counselling Required</t>
  </si>
  <si>
    <t>Attendance above 80%</t>
  </si>
  <si>
    <t>Que 34.</t>
  </si>
  <si>
    <t>Fees Pending</t>
  </si>
  <si>
    <t>Que 35.</t>
  </si>
  <si>
    <t>Que 36.</t>
  </si>
  <si>
    <t>Que 37.</t>
  </si>
  <si>
    <t>Que 41.</t>
  </si>
  <si>
    <t>Remove Duplicate</t>
  </si>
  <si>
    <t>student records</t>
  </si>
  <si>
    <t>Que 42.</t>
  </si>
  <si>
    <t>Names</t>
  </si>
  <si>
    <t>Que 43.</t>
  </si>
  <si>
    <t>Cities</t>
  </si>
  <si>
    <t>Que 44.</t>
  </si>
  <si>
    <t xml:space="preserve">Unique no. of </t>
  </si>
  <si>
    <t xml:space="preserve">records = </t>
  </si>
  <si>
    <t>Total Students</t>
  </si>
  <si>
    <t>Total Hostel Candidates</t>
  </si>
  <si>
    <t>Total Fees Paid</t>
  </si>
  <si>
    <t>Total Fees Pending</t>
  </si>
  <si>
    <t>Students Eligible for Exam</t>
  </si>
  <si>
    <t>Students Not Eligible for Exam</t>
  </si>
  <si>
    <t>Average Attendance</t>
  </si>
  <si>
    <t>Students Above 22 years</t>
  </si>
  <si>
    <t>Student Management Dashboard</t>
  </si>
  <si>
    <t>No. of Students</t>
  </si>
  <si>
    <t xml:space="preserve">Cities </t>
  </si>
  <si>
    <t xml:space="preserve">Total Local Students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</si>
</sst>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b/>
      <sz val="14.5"/>
      <color theme="1"/>
      <name val="Times New Roman"/>
      <family val="1"/>
    </font>
    <font>
      <b/>
      <sz val="2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164" fontId="4" fillId="0" borderId="0" xfId="0" applyNumberFormat="1" applyFont="1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/>
    </xf>
    <xf numFmtId="10" fontId="6" fillId="3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Students</a:t>
            </a:r>
            <a:r>
              <a:rPr lang="en-IN" baseline="0"/>
              <a:t> Distribution By City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267096974348304"/>
          <c:y val="0.12298542265837029"/>
          <c:w val="0.78046310551429399"/>
          <c:h val="0.7303056187136645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Dashboards!$A$9:$A$12</c:f>
              <c:strCache>
                <c:ptCount val="4"/>
                <c:pt idx="0">
                  <c:v>Pune</c:v>
                </c:pt>
                <c:pt idx="1">
                  <c:v>Mumbai</c:v>
                </c:pt>
                <c:pt idx="2">
                  <c:v>Nashik</c:v>
                </c:pt>
                <c:pt idx="3">
                  <c:v>Nagpur</c:v>
                </c:pt>
              </c:strCache>
            </c:strRef>
          </c:cat>
          <c:val>
            <c:numRef>
              <c:f>Dashboards!$B$9:$B$12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5-4EB1-BFFE-1F54206EA9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00168847"/>
        <c:axId val="492743119"/>
      </c:barChart>
      <c:catAx>
        <c:axId val="500168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43119"/>
        <c:crosses val="autoZero"/>
        <c:auto val="1"/>
        <c:lblAlgn val="ctr"/>
        <c:lblOffset val="100"/>
        <c:noMultiLvlLbl val="0"/>
      </c:catAx>
      <c:valAx>
        <c:axId val="4927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Students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6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513819</xdr:colOff>
      <xdr:row>6</xdr:row>
      <xdr:rowOff>265545</xdr:rowOff>
    </xdr:from>
    <xdr:to>
      <xdr:col>9</xdr:col>
      <xdr:colOff>260430</xdr:colOff>
      <xdr:row>19</xdr:row>
      <xdr:rowOff>57874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D4E9ED9-40F3-5DDF-6CE7-F73E6C5A2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02"/>
  <sheetViews>
    <sheetView tabSelected="1" topLeftCell="AI1" zoomScale="83" workbookViewId="0"/>
  </sheetViews>
  <sheetFormatPr defaultColWidth="14.44140625" defaultRowHeight="15" customHeight="1" x14ac:dyDescent="0.3"/>
  <cols>
    <col min="1" max="1" width="12.5546875" bestFit="1" customWidth="1"/>
    <col min="2" max="2" width="9" bestFit="1" customWidth="1"/>
    <col min="3" max="3" width="7.21875" bestFit="1" customWidth="1"/>
    <col min="4" max="4" width="14.77734375" bestFit="1" customWidth="1"/>
    <col min="5" max="5" width="7.77734375" bestFit="1" customWidth="1"/>
    <col min="6" max="6" width="8.77734375" bestFit="1" customWidth="1"/>
    <col min="7" max="7" width="15.6640625" bestFit="1" customWidth="1"/>
    <col min="8" max="8" width="10.77734375" bestFit="1" customWidth="1"/>
    <col min="9" max="9" width="20.6640625" bestFit="1" customWidth="1"/>
    <col min="10" max="10" width="16.5546875" bestFit="1" customWidth="1"/>
    <col min="11" max="11" width="17.6640625" bestFit="1" customWidth="1"/>
    <col min="12" max="12" width="14" bestFit="1" customWidth="1"/>
    <col min="13" max="13" width="20.21875" bestFit="1" customWidth="1"/>
    <col min="14" max="14" width="18.44140625" bestFit="1" customWidth="1"/>
    <col min="15" max="15" width="14.88671875" bestFit="1" customWidth="1"/>
    <col min="16" max="16" width="22.21875" bestFit="1" customWidth="1"/>
    <col min="17" max="17" width="14" customWidth="1"/>
    <col min="18" max="19" width="8.6640625" customWidth="1"/>
    <col min="20" max="20" width="9.88671875" bestFit="1" customWidth="1"/>
    <col min="21" max="25" width="8.6640625" customWidth="1"/>
    <col min="26" max="26" width="12.88671875" bestFit="1" customWidth="1"/>
    <col min="32" max="32" width="17.5546875" bestFit="1" customWidth="1"/>
    <col min="33" max="33" width="15.77734375" bestFit="1" customWidth="1"/>
    <col min="35" max="35" width="19.44140625" bestFit="1" customWidth="1"/>
    <col min="37" max="37" width="17.88671875" bestFit="1" customWidth="1"/>
    <col min="38" max="38" width="10.5546875" bestFit="1" customWidth="1"/>
    <col min="39" max="39" width="6.44140625" bestFit="1" customWidth="1"/>
    <col min="40" max="40" width="4.44140625" bestFit="1" customWidth="1"/>
    <col min="41" max="41" width="7.21875" bestFit="1" customWidth="1"/>
    <col min="42" max="42" width="8.5546875" bestFit="1" customWidth="1"/>
    <col min="43" max="43" width="6.5546875" bestFit="1" customWidth="1"/>
    <col min="44" max="44" width="13.5546875" bestFit="1" customWidth="1"/>
    <col min="45" max="45" width="9.88671875" bestFit="1" customWidth="1"/>
    <col min="46" max="47" width="15" bestFit="1" customWidth="1"/>
    <col min="48" max="48" width="17" bestFit="1" customWidth="1"/>
    <col min="49" max="49" width="12" bestFit="1" customWidth="1"/>
    <col min="50" max="50" width="18.88671875" bestFit="1" customWidth="1"/>
    <col min="51" max="51" width="15.33203125" bestFit="1" customWidth="1"/>
    <col min="53" max="53" width="19" bestFit="1" customWidth="1"/>
  </cols>
  <sheetData>
    <row r="1" spans="1:53" ht="15" customHeight="1" x14ac:dyDescent="0.3"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81</v>
      </c>
      <c r="O1" s="2" t="s">
        <v>83</v>
      </c>
      <c r="P1" s="2" t="s">
        <v>85</v>
      </c>
      <c r="R1" s="2" t="s">
        <v>91</v>
      </c>
      <c r="AK1" s="2" t="s">
        <v>93</v>
      </c>
    </row>
    <row r="2" spans="1:53" ht="14.4" x14ac:dyDescent="0.3">
      <c r="A2" s="5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3" t="s">
        <v>71</v>
      </c>
      <c r="J2" s="3" t="s">
        <v>72</v>
      </c>
      <c r="K2" s="3" t="s">
        <v>73</v>
      </c>
      <c r="L2" s="3" t="s">
        <v>74</v>
      </c>
      <c r="M2" s="3" t="s">
        <v>80</v>
      </c>
      <c r="N2" s="3" t="s">
        <v>82</v>
      </c>
      <c r="O2" s="3" t="s">
        <v>84</v>
      </c>
      <c r="P2" s="3" t="s">
        <v>86</v>
      </c>
      <c r="T2" s="1" t="s">
        <v>0</v>
      </c>
      <c r="U2" s="1" t="s">
        <v>1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6</v>
      </c>
      <c r="AA2" s="1" t="s">
        <v>7</v>
      </c>
      <c r="AB2" s="3" t="s">
        <v>71</v>
      </c>
      <c r="AC2" s="3" t="s">
        <v>72</v>
      </c>
      <c r="AD2" s="3" t="s">
        <v>73</v>
      </c>
      <c r="AE2" s="3" t="s">
        <v>74</v>
      </c>
      <c r="AF2" s="3" t="s">
        <v>80</v>
      </c>
      <c r="AG2" s="3" t="s">
        <v>82</v>
      </c>
      <c r="AH2" s="3" t="s">
        <v>84</v>
      </c>
      <c r="AI2" s="3" t="s">
        <v>86</v>
      </c>
      <c r="AK2" s="5" t="s">
        <v>94</v>
      </c>
      <c r="AL2" s="5" t="s">
        <v>0</v>
      </c>
      <c r="AM2" s="5" t="s">
        <v>1</v>
      </c>
      <c r="AN2" s="5" t="s">
        <v>2</v>
      </c>
      <c r="AO2" s="5" t="s">
        <v>3</v>
      </c>
      <c r="AP2" s="5" t="s">
        <v>4</v>
      </c>
      <c r="AQ2" s="5" t="s">
        <v>5</v>
      </c>
      <c r="AR2" s="5" t="s">
        <v>6</v>
      </c>
      <c r="AS2" s="5" t="s">
        <v>7</v>
      </c>
      <c r="AT2" s="3" t="s">
        <v>71</v>
      </c>
      <c r="AU2" s="3" t="s">
        <v>72</v>
      </c>
      <c r="AV2" s="3" t="s">
        <v>73</v>
      </c>
      <c r="AW2" s="3" t="s">
        <v>74</v>
      </c>
      <c r="AX2" s="3" t="s">
        <v>80</v>
      </c>
      <c r="AY2" s="3" t="s">
        <v>82</v>
      </c>
      <c r="AZ2" s="3" t="s">
        <v>84</v>
      </c>
      <c r="BA2" s="3" t="s">
        <v>86</v>
      </c>
    </row>
    <row r="3" spans="1:53" ht="14.4" x14ac:dyDescent="0.3">
      <c r="A3" s="1" t="s">
        <v>8</v>
      </c>
      <c r="B3" s="1" t="s">
        <v>9</v>
      </c>
      <c r="C3" s="1">
        <v>21</v>
      </c>
      <c r="D3" s="1" t="s">
        <v>10</v>
      </c>
      <c r="E3" s="1" t="s">
        <v>11</v>
      </c>
      <c r="F3" s="1">
        <v>85</v>
      </c>
      <c r="G3" s="1">
        <v>92</v>
      </c>
      <c r="H3" s="1" t="s">
        <v>12</v>
      </c>
      <c r="I3" t="str">
        <f t="shared" ref="I3:I14" si="0">IF(AND(G3&gt;= 75, H3 = "Yes"),"Eligible","Not Eligible")</f>
        <v>Eligible</v>
      </c>
      <c r="J3" t="str">
        <f t="shared" ref="J3:J14" si="1">IF(H3 = "Yes","No Reminder","Send Reminder")</f>
        <v>No Reminder</v>
      </c>
      <c r="K3" t="str">
        <f t="shared" ref="K3:K14" si="2">IF(E3 = "Pune","Local","Hostel Candidate")</f>
        <v>Local</v>
      </c>
      <c r="L3" t="str">
        <f t="shared" ref="L3:L14" si="3">IF(C3 &gt;= 21, "Adult","Minor")</f>
        <v>Adult</v>
      </c>
      <c r="M3" t="str">
        <f t="shared" ref="M3:M14" si="4">IF(G3&gt;=85,"Eligible", "Not Eligible")</f>
        <v>Eligible</v>
      </c>
      <c r="N3" t="str">
        <f t="shared" ref="N3:N14" si="5">IF(G3 &gt;= 90, "Excellent",IF(G3 &gt;= 80,"Good",IF(G3 &gt;=70,"Average","Poor")))</f>
        <v>Excellent</v>
      </c>
      <c r="O3" t="str">
        <f t="shared" ref="O3:O14" si="6">IF(AND(H3 = "Yes", G3 &gt;= 90),"High",IF(H3 = "Yes","Medium","Low"))</f>
        <v>High</v>
      </c>
      <c r="P3" t="str">
        <f t="shared" ref="P3:P14" si="7">IF(G3&lt;=70,"Yes",IF(G3&lt;=80,"Maybe",IF(G3&gt;80,"No")))</f>
        <v>No</v>
      </c>
      <c r="Q3" s="7" t="s">
        <v>3</v>
      </c>
      <c r="R3" s="8" t="s">
        <v>10</v>
      </c>
      <c r="T3" t="str" cm="1">
        <f t="array" ref="T3:AI14">_xlfn._xlws.FILTER(A3:P14,D3:D14=R3,"Value Not Found")</f>
        <v>S101</v>
      </c>
      <c r="U3" t="str">
        <v>Aman</v>
      </c>
      <c r="V3">
        <v>21</v>
      </c>
      <c r="W3" t="str">
        <v>MCA</v>
      </c>
      <c r="X3" t="str">
        <v>Pune</v>
      </c>
      <c r="Y3">
        <v>85</v>
      </c>
      <c r="Z3">
        <v>92</v>
      </c>
      <c r="AA3" t="str">
        <v>Yes</v>
      </c>
      <c r="AB3" t="str">
        <v>Eligible</v>
      </c>
      <c r="AC3" t="str">
        <v>No Reminder</v>
      </c>
      <c r="AD3" t="str">
        <v>Local</v>
      </c>
      <c r="AE3" t="str">
        <v>Adult</v>
      </c>
      <c r="AF3" t="str">
        <v>Eligible</v>
      </c>
      <c r="AG3" t="str">
        <v>Excellent</v>
      </c>
      <c r="AH3" t="str">
        <v>High</v>
      </c>
      <c r="AI3" t="str">
        <v>No</v>
      </c>
      <c r="AK3" s="5" t="s">
        <v>95</v>
      </c>
      <c r="AL3" s="1" t="s">
        <v>8</v>
      </c>
      <c r="AM3" s="5" t="s">
        <v>9</v>
      </c>
      <c r="AN3" s="5">
        <v>21</v>
      </c>
      <c r="AO3" s="5" t="s">
        <v>10</v>
      </c>
      <c r="AP3" s="5" t="s">
        <v>11</v>
      </c>
      <c r="AQ3" s="5">
        <v>85</v>
      </c>
      <c r="AR3" s="5">
        <v>92</v>
      </c>
      <c r="AS3" s="5" t="s">
        <v>12</v>
      </c>
      <c r="AT3" t="str">
        <f>IF(AND(AR3&gt;= 75, AS3 = "Yes"),"Eligible","Not Eligible")</f>
        <v>Eligible</v>
      </c>
      <c r="AU3" t="str">
        <f>IF(AS3 = "Yes","No Reminder","Send Reminder")</f>
        <v>No Reminder</v>
      </c>
      <c r="AV3" t="str">
        <f>IF(AP3 = "Pune","Local","Hostel Candidate")</f>
        <v>Local</v>
      </c>
      <c r="AW3" t="str">
        <f>IF(AN3 &gt;= 21, "Adult","Minor")</f>
        <v>Adult</v>
      </c>
      <c r="AX3" t="str">
        <f>IF(AR3&gt;=85,"Eligible", "Not Eligible")</f>
        <v>Eligible</v>
      </c>
      <c r="AY3" t="str">
        <f>IF(AR3 &gt;= 90, "Excellent",IF(AR3 &gt;= 80,"Good",IF(AR3 &gt;=70,"Average","Poor")))</f>
        <v>Excellent</v>
      </c>
      <c r="AZ3" t="str">
        <f>IF(AND(AS3 = "Yes", AR3 &gt;= 90),"High",IF(AS3 = "Yes","Medium","Low"))</f>
        <v>High</v>
      </c>
      <c r="BA3" t="str">
        <f>IF(AR3&lt;=70,"Yes",IF(AR3&lt;=80,"Maybe",IF(AR3&gt;80,"No")))</f>
        <v>No</v>
      </c>
    </row>
    <row r="4" spans="1:53" ht="14.4" x14ac:dyDescent="0.3">
      <c r="A4" s="1" t="s">
        <v>13</v>
      </c>
      <c r="B4" s="1" t="s">
        <v>14</v>
      </c>
      <c r="C4" s="1">
        <v>22</v>
      </c>
      <c r="D4" s="1" t="s">
        <v>10</v>
      </c>
      <c r="E4" s="1" t="s">
        <v>15</v>
      </c>
      <c r="F4" s="1">
        <v>45</v>
      </c>
      <c r="G4" s="1">
        <v>70</v>
      </c>
      <c r="H4" s="1" t="s">
        <v>16</v>
      </c>
      <c r="I4" t="str">
        <f t="shared" si="0"/>
        <v>Not Eligible</v>
      </c>
      <c r="J4" t="str">
        <f t="shared" si="1"/>
        <v>Send Reminder</v>
      </c>
      <c r="K4" t="str">
        <f t="shared" si="2"/>
        <v>Hostel Candidate</v>
      </c>
      <c r="L4" t="str">
        <f t="shared" si="3"/>
        <v>Adult</v>
      </c>
      <c r="M4" t="str">
        <f t="shared" si="4"/>
        <v>Not Eligible</v>
      </c>
      <c r="N4" t="str">
        <f t="shared" si="5"/>
        <v>Average</v>
      </c>
      <c r="O4" t="str">
        <f t="shared" si="6"/>
        <v>Low</v>
      </c>
      <c r="P4" t="str">
        <f t="shared" si="7"/>
        <v>Yes</v>
      </c>
      <c r="T4" t="str">
        <v>S102</v>
      </c>
      <c r="U4" t="str">
        <v>Priya</v>
      </c>
      <c r="V4">
        <v>22</v>
      </c>
      <c r="W4" t="str">
        <v>MCA</v>
      </c>
      <c r="X4" t="str">
        <v>Mumbai</v>
      </c>
      <c r="Y4">
        <v>45</v>
      </c>
      <c r="Z4">
        <v>70</v>
      </c>
      <c r="AA4" t="str">
        <v>No</v>
      </c>
      <c r="AB4" t="str">
        <v>Not Eligible</v>
      </c>
      <c r="AC4" t="str">
        <v>Send Reminder</v>
      </c>
      <c r="AD4" t="str">
        <v>Hostel Candidate</v>
      </c>
      <c r="AE4" t="str">
        <v>Adult</v>
      </c>
      <c r="AF4" t="str">
        <v>Not Eligible</v>
      </c>
      <c r="AG4" t="str">
        <v>Average</v>
      </c>
      <c r="AH4" t="str">
        <v>Low</v>
      </c>
      <c r="AI4" t="str">
        <v>Yes</v>
      </c>
      <c r="AL4" s="1" t="s">
        <v>13</v>
      </c>
      <c r="AM4" s="5" t="s">
        <v>14</v>
      </c>
      <c r="AN4" s="5">
        <v>22</v>
      </c>
      <c r="AO4" s="5" t="s">
        <v>10</v>
      </c>
      <c r="AP4" s="5" t="s">
        <v>15</v>
      </c>
      <c r="AQ4" s="5">
        <v>45</v>
      </c>
      <c r="AR4" s="5">
        <v>70</v>
      </c>
      <c r="AS4" s="5" t="s">
        <v>16</v>
      </c>
      <c r="AT4" t="str">
        <f>IF(AND(AR4&gt;= 75, AS4 = "Yes"),"Eligible","Not Eligible")</f>
        <v>Not Eligible</v>
      </c>
      <c r="AU4" t="str">
        <f>IF(AS4 = "Yes","No Reminder","Send Reminder")</f>
        <v>Send Reminder</v>
      </c>
      <c r="AV4" t="str">
        <f>IF(AP4 = "Pune","Local","Hostel Candidate")</f>
        <v>Hostel Candidate</v>
      </c>
      <c r="AW4" t="str">
        <f>IF(AN4 &gt;= 21, "Adult","Minor")</f>
        <v>Adult</v>
      </c>
      <c r="AX4" t="str">
        <f>IF(AR4&gt;=85,"Eligible", "Not Eligible")</f>
        <v>Not Eligible</v>
      </c>
      <c r="AY4" t="str">
        <f>IF(AR4 &gt;= 90, "Excellent",IF(AR4 &gt;= 80,"Good",IF(AR4 &gt;=70,"Average","Poor")))</f>
        <v>Average</v>
      </c>
      <c r="AZ4" t="str">
        <f>IF(AND(AS4 = "Yes", AR4 &gt;= 90),"High",IF(AS4 = "Yes","Medium","Low"))</f>
        <v>Low</v>
      </c>
      <c r="BA4" t="str">
        <f>IF(AR4&lt;=70,"Yes",IF(AR4&lt;=80,"Maybe",IF(AR4&gt;80,"No")))</f>
        <v>Yes</v>
      </c>
    </row>
    <row r="5" spans="1:53" ht="14.4" x14ac:dyDescent="0.3">
      <c r="A5" s="1" t="s">
        <v>17</v>
      </c>
      <c r="B5" s="1" t="s">
        <v>18</v>
      </c>
      <c r="C5" s="1">
        <v>23</v>
      </c>
      <c r="D5" s="1" t="s">
        <v>10</v>
      </c>
      <c r="E5" s="1" t="s">
        <v>19</v>
      </c>
      <c r="F5" s="1">
        <v>78</v>
      </c>
      <c r="G5" s="1">
        <v>88</v>
      </c>
      <c r="H5" s="1" t="s">
        <v>12</v>
      </c>
      <c r="I5" t="str">
        <f t="shared" si="0"/>
        <v>Eligible</v>
      </c>
      <c r="J5" t="str">
        <f t="shared" si="1"/>
        <v>No Reminder</v>
      </c>
      <c r="K5" t="str">
        <f t="shared" si="2"/>
        <v>Hostel Candidate</v>
      </c>
      <c r="L5" t="str">
        <f t="shared" si="3"/>
        <v>Adult</v>
      </c>
      <c r="M5" t="str">
        <f t="shared" si="4"/>
        <v>Eligible</v>
      </c>
      <c r="N5" t="str">
        <f t="shared" si="5"/>
        <v>Good</v>
      </c>
      <c r="O5" t="str">
        <f t="shared" si="6"/>
        <v>Medium</v>
      </c>
      <c r="P5" t="str">
        <f t="shared" si="7"/>
        <v>No</v>
      </c>
      <c r="T5" t="str">
        <v>S103</v>
      </c>
      <c r="U5" t="str">
        <v>Rohit</v>
      </c>
      <c r="V5">
        <v>23</v>
      </c>
      <c r="W5" t="str">
        <v>MCA</v>
      </c>
      <c r="X5" t="str">
        <v>Nashik</v>
      </c>
      <c r="Y5">
        <v>78</v>
      </c>
      <c r="Z5">
        <v>88</v>
      </c>
      <c r="AA5" t="str">
        <v>Yes</v>
      </c>
      <c r="AB5" t="str">
        <v>Eligible</v>
      </c>
      <c r="AC5" t="str">
        <v>No Reminder</v>
      </c>
      <c r="AD5" t="str">
        <v>Hostel Candidate</v>
      </c>
      <c r="AE5" t="str">
        <v>Adult</v>
      </c>
      <c r="AF5" t="str">
        <v>Eligible</v>
      </c>
      <c r="AG5" t="str">
        <v>Good</v>
      </c>
      <c r="AH5" t="str">
        <v>Medium</v>
      </c>
      <c r="AI5" t="str">
        <v>No</v>
      </c>
      <c r="AK5" s="2" t="s">
        <v>96</v>
      </c>
      <c r="AL5" s="1" t="s">
        <v>17</v>
      </c>
      <c r="AM5" s="5" t="s">
        <v>18</v>
      </c>
      <c r="AN5" s="5">
        <v>23</v>
      </c>
      <c r="AO5" s="5" t="s">
        <v>10</v>
      </c>
      <c r="AP5" s="5" t="s">
        <v>19</v>
      </c>
      <c r="AQ5" s="5">
        <v>78</v>
      </c>
      <c r="AR5" s="5">
        <v>88</v>
      </c>
      <c r="AS5" s="5" t="s">
        <v>12</v>
      </c>
      <c r="AT5" t="str">
        <f>IF(AND(AR5&gt;= 75, AS5 = "Yes"),"Eligible","Not Eligible")</f>
        <v>Eligible</v>
      </c>
      <c r="AU5" t="str">
        <f>IF(AS5 = "Yes","No Reminder","Send Reminder")</f>
        <v>No Reminder</v>
      </c>
      <c r="AV5" t="str">
        <f>IF(AP5 = "Pune","Local","Hostel Candidate")</f>
        <v>Hostel Candidate</v>
      </c>
      <c r="AW5" t="str">
        <f>IF(AN5 &gt;= 21, "Adult","Minor")</f>
        <v>Adult</v>
      </c>
      <c r="AX5" t="str">
        <f>IF(AR5&gt;=85,"Eligible", "Not Eligible")</f>
        <v>Eligible</v>
      </c>
      <c r="AY5" t="str">
        <f>IF(AR5 &gt;= 90, "Excellent",IF(AR5 &gt;= 80,"Good",IF(AR5 &gt;=70,"Average","Poor")))</f>
        <v>Good</v>
      </c>
      <c r="AZ5" t="str">
        <f>IF(AND(AS5 = "Yes", AR5 &gt;= 90),"High",IF(AS5 = "Yes","Medium","Low"))</f>
        <v>Medium</v>
      </c>
      <c r="BA5" t="str">
        <f>IF(AR5&lt;=70,"Yes",IF(AR5&lt;=80,"Maybe",IF(AR5&gt;80,"No")))</f>
        <v>No</v>
      </c>
    </row>
    <row r="6" spans="1:53" ht="14.4" x14ac:dyDescent="0.3">
      <c r="A6" s="1" t="s">
        <v>20</v>
      </c>
      <c r="B6" s="1" t="s">
        <v>21</v>
      </c>
      <c r="C6" s="1">
        <v>20</v>
      </c>
      <c r="D6" s="1" t="s">
        <v>10</v>
      </c>
      <c r="E6" s="1" t="s">
        <v>11</v>
      </c>
      <c r="F6" s="1">
        <v>91</v>
      </c>
      <c r="G6" s="1">
        <v>96</v>
      </c>
      <c r="H6" s="1" t="s">
        <v>12</v>
      </c>
      <c r="I6" t="str">
        <f t="shared" si="0"/>
        <v>Eligible</v>
      </c>
      <c r="J6" t="str">
        <f t="shared" si="1"/>
        <v>No Reminder</v>
      </c>
      <c r="K6" t="str">
        <f t="shared" si="2"/>
        <v>Local</v>
      </c>
      <c r="L6" t="str">
        <f t="shared" si="3"/>
        <v>Minor</v>
      </c>
      <c r="M6" t="str">
        <f t="shared" si="4"/>
        <v>Eligible</v>
      </c>
      <c r="N6" t="str">
        <f t="shared" si="5"/>
        <v>Excellent</v>
      </c>
      <c r="O6" t="str">
        <f t="shared" si="6"/>
        <v>High</v>
      </c>
      <c r="P6" t="str">
        <f t="shared" si="7"/>
        <v>No</v>
      </c>
      <c r="T6" t="str">
        <v>S104</v>
      </c>
      <c r="U6" t="str">
        <v>Neha</v>
      </c>
      <c r="V6">
        <v>20</v>
      </c>
      <c r="W6" t="str">
        <v>MCA</v>
      </c>
      <c r="X6" t="str">
        <v>Pune</v>
      </c>
      <c r="Y6">
        <v>91</v>
      </c>
      <c r="Z6">
        <v>96</v>
      </c>
      <c r="AA6" t="str">
        <v>Yes</v>
      </c>
      <c r="AB6" t="str">
        <v>Eligible</v>
      </c>
      <c r="AC6" t="str">
        <v>No Reminder</v>
      </c>
      <c r="AD6" t="str">
        <v>Local</v>
      </c>
      <c r="AE6" t="str">
        <v>Minor</v>
      </c>
      <c r="AF6" t="str">
        <v>Eligible</v>
      </c>
      <c r="AG6" t="str">
        <v>Excellent</v>
      </c>
      <c r="AH6" t="str">
        <v>High</v>
      </c>
      <c r="AI6" t="str">
        <v>No</v>
      </c>
      <c r="AK6" s="5" t="s">
        <v>94</v>
      </c>
      <c r="AL6" s="1" t="s">
        <v>22</v>
      </c>
      <c r="AM6" s="5" t="s">
        <v>23</v>
      </c>
      <c r="AN6" s="5">
        <v>24</v>
      </c>
      <c r="AO6" s="5" t="s">
        <v>10</v>
      </c>
      <c r="AP6" s="5" t="s">
        <v>24</v>
      </c>
      <c r="AQ6" s="5">
        <v>39</v>
      </c>
      <c r="AR6" s="5">
        <v>65</v>
      </c>
      <c r="AS6" s="5" t="s">
        <v>16</v>
      </c>
      <c r="AT6" t="str">
        <f>IF(AND(AR6&gt;= 75, AS6 = "Yes"),"Eligible","Not Eligible")</f>
        <v>Not Eligible</v>
      </c>
      <c r="AU6" t="str">
        <f>IF(AS6 = "Yes","No Reminder","Send Reminder")</f>
        <v>Send Reminder</v>
      </c>
      <c r="AV6" t="str">
        <f>IF(AP6 = "Pune","Local","Hostel Candidate")</f>
        <v>Hostel Candidate</v>
      </c>
      <c r="AW6" t="str">
        <f>IF(AN6 &gt;= 21, "Adult","Minor")</f>
        <v>Adult</v>
      </c>
      <c r="AX6" t="str">
        <f>IF(AR6&gt;=85,"Eligible", "Not Eligible")</f>
        <v>Not Eligible</v>
      </c>
      <c r="AY6" t="str">
        <f>IF(AR6 &gt;= 90, "Excellent",IF(AR6 &gt;= 80,"Good",IF(AR6 &gt;=70,"Average","Poor")))</f>
        <v>Poor</v>
      </c>
      <c r="AZ6" t="str">
        <f>IF(AND(AS6 = "Yes", AR6 &gt;= 90),"High",IF(AS6 = "Yes","Medium","Low"))</f>
        <v>Low</v>
      </c>
      <c r="BA6" t="str">
        <f>IF(AR6&lt;=70,"Yes",IF(AR6&lt;=80,"Maybe",IF(AR6&gt;80,"No")))</f>
        <v>Yes</v>
      </c>
    </row>
    <row r="7" spans="1:53" ht="14.4" x14ac:dyDescent="0.3">
      <c r="A7" s="1" t="s">
        <v>22</v>
      </c>
      <c r="B7" s="1" t="s">
        <v>23</v>
      </c>
      <c r="C7" s="1">
        <v>24</v>
      </c>
      <c r="D7" s="1" t="s">
        <v>10</v>
      </c>
      <c r="E7" s="1" t="s">
        <v>24</v>
      </c>
      <c r="F7" s="1">
        <v>39</v>
      </c>
      <c r="G7" s="1">
        <v>65</v>
      </c>
      <c r="H7" s="1" t="s">
        <v>16</v>
      </c>
      <c r="I7" t="str">
        <f t="shared" si="0"/>
        <v>Not Eligible</v>
      </c>
      <c r="J7" t="str">
        <f t="shared" si="1"/>
        <v>Send Reminder</v>
      </c>
      <c r="K7" t="str">
        <f t="shared" si="2"/>
        <v>Hostel Candidate</v>
      </c>
      <c r="L7" t="str">
        <f t="shared" si="3"/>
        <v>Adult</v>
      </c>
      <c r="M7" t="str">
        <f t="shared" si="4"/>
        <v>Not Eligible</v>
      </c>
      <c r="N7" t="str">
        <f t="shared" si="5"/>
        <v>Poor</v>
      </c>
      <c r="O7" t="str">
        <f t="shared" si="6"/>
        <v>Low</v>
      </c>
      <c r="P7" t="str">
        <f t="shared" si="7"/>
        <v>Yes</v>
      </c>
      <c r="T7" t="str">
        <v>S105</v>
      </c>
      <c r="U7" t="str">
        <v>Rahul</v>
      </c>
      <c r="V7">
        <v>24</v>
      </c>
      <c r="W7" t="str">
        <v>MCA</v>
      </c>
      <c r="X7" t="str">
        <v>Nagpur</v>
      </c>
      <c r="Y7">
        <v>39</v>
      </c>
      <c r="Z7">
        <v>65</v>
      </c>
      <c r="AA7" t="str">
        <v>No</v>
      </c>
      <c r="AB7" t="str">
        <v>Not Eligible</v>
      </c>
      <c r="AC7" t="str">
        <v>Send Reminder</v>
      </c>
      <c r="AD7" t="str">
        <v>Hostel Candidate</v>
      </c>
      <c r="AE7" t="str">
        <v>Adult</v>
      </c>
      <c r="AF7" t="str">
        <v>Not Eligible</v>
      </c>
      <c r="AG7" t="str">
        <v>Poor</v>
      </c>
      <c r="AH7" t="str">
        <v>Low</v>
      </c>
      <c r="AI7" t="str">
        <v>Yes</v>
      </c>
      <c r="AK7" s="5" t="s">
        <v>97</v>
      </c>
    </row>
    <row r="8" spans="1:53" ht="14.4" x14ac:dyDescent="0.3">
      <c r="A8" s="1" t="s">
        <v>25</v>
      </c>
      <c r="B8" s="1" t="s">
        <v>26</v>
      </c>
      <c r="C8" s="1">
        <v>22</v>
      </c>
      <c r="D8" s="1" t="s">
        <v>10</v>
      </c>
      <c r="E8" s="1" t="s">
        <v>15</v>
      </c>
      <c r="F8" s="1">
        <v>66</v>
      </c>
      <c r="G8" s="1">
        <v>82</v>
      </c>
      <c r="H8" s="1" t="s">
        <v>12</v>
      </c>
      <c r="I8" t="str">
        <f t="shared" si="0"/>
        <v>Eligible</v>
      </c>
      <c r="J8" t="str">
        <f t="shared" si="1"/>
        <v>No Reminder</v>
      </c>
      <c r="K8" t="str">
        <f t="shared" si="2"/>
        <v>Hostel Candidate</v>
      </c>
      <c r="L8" t="str">
        <f t="shared" si="3"/>
        <v>Adult</v>
      </c>
      <c r="M8" t="str">
        <f t="shared" si="4"/>
        <v>Not Eligible</v>
      </c>
      <c r="N8" t="str">
        <f t="shared" si="5"/>
        <v>Good</v>
      </c>
      <c r="O8" t="str">
        <f t="shared" si="6"/>
        <v>Medium</v>
      </c>
      <c r="P8" t="str">
        <f t="shared" si="7"/>
        <v>No</v>
      </c>
      <c r="T8" t="str">
        <v>S106</v>
      </c>
      <c r="U8" t="str">
        <v>Sneha</v>
      </c>
      <c r="V8">
        <v>22</v>
      </c>
      <c r="W8" t="str">
        <v>MCA</v>
      </c>
      <c r="X8" t="str">
        <v>Mumbai</v>
      </c>
      <c r="Y8">
        <v>66</v>
      </c>
      <c r="Z8">
        <v>82</v>
      </c>
      <c r="AA8" t="str">
        <v>Yes</v>
      </c>
      <c r="AB8" t="str">
        <v>Eligible</v>
      </c>
      <c r="AC8" t="str">
        <v>No Reminder</v>
      </c>
      <c r="AD8" t="str">
        <v>Hostel Candidate</v>
      </c>
      <c r="AE8" t="str">
        <v>Adult</v>
      </c>
      <c r="AF8" t="str">
        <v>Not Eligible</v>
      </c>
      <c r="AG8" t="str">
        <v>Good</v>
      </c>
      <c r="AH8" t="str">
        <v>Medium</v>
      </c>
      <c r="AI8" t="str">
        <v>No</v>
      </c>
    </row>
    <row r="9" spans="1:53" ht="14.4" x14ac:dyDescent="0.3">
      <c r="A9" s="1" t="s">
        <v>27</v>
      </c>
      <c r="B9" s="1" t="s">
        <v>28</v>
      </c>
      <c r="C9" s="1">
        <v>23</v>
      </c>
      <c r="D9" s="1" t="s">
        <v>10</v>
      </c>
      <c r="E9" s="1" t="s">
        <v>11</v>
      </c>
      <c r="F9" s="1">
        <v>58</v>
      </c>
      <c r="G9" s="1">
        <v>75</v>
      </c>
      <c r="H9" s="1" t="s">
        <v>16</v>
      </c>
      <c r="I9" t="str">
        <f t="shared" si="0"/>
        <v>Not Eligible</v>
      </c>
      <c r="J9" t="str">
        <f t="shared" si="1"/>
        <v>Send Reminder</v>
      </c>
      <c r="K9" t="str">
        <f t="shared" si="2"/>
        <v>Local</v>
      </c>
      <c r="L9" t="str">
        <f t="shared" si="3"/>
        <v>Adult</v>
      </c>
      <c r="M9" t="str">
        <f t="shared" si="4"/>
        <v>Not Eligible</v>
      </c>
      <c r="N9" t="str">
        <f t="shared" si="5"/>
        <v>Average</v>
      </c>
      <c r="O9" t="str">
        <f t="shared" si="6"/>
        <v>Low</v>
      </c>
      <c r="P9" t="str">
        <f t="shared" si="7"/>
        <v>Maybe</v>
      </c>
      <c r="T9" t="str">
        <v>S107</v>
      </c>
      <c r="U9" t="str">
        <v>Karan</v>
      </c>
      <c r="V9">
        <v>23</v>
      </c>
      <c r="W9" t="str">
        <v>MCA</v>
      </c>
      <c r="X9" t="str">
        <v>Pune</v>
      </c>
      <c r="Y9">
        <v>58</v>
      </c>
      <c r="Z9">
        <v>75</v>
      </c>
      <c r="AA9" t="str">
        <v>No</v>
      </c>
      <c r="AB9" t="str">
        <v>Not Eligible</v>
      </c>
      <c r="AC9" t="str">
        <v>Send Reminder</v>
      </c>
      <c r="AD9" t="str">
        <v>Local</v>
      </c>
      <c r="AE9" t="str">
        <v>Adult</v>
      </c>
      <c r="AF9" t="str">
        <v>Not Eligible</v>
      </c>
      <c r="AG9" t="str">
        <v>Average</v>
      </c>
      <c r="AH9" t="str">
        <v>Low</v>
      </c>
      <c r="AI9" t="str">
        <v>Maybe</v>
      </c>
      <c r="AK9" s="2" t="s">
        <v>98</v>
      </c>
    </row>
    <row r="10" spans="1:53" ht="14.4" x14ac:dyDescent="0.3">
      <c r="A10" s="1" t="s">
        <v>29</v>
      </c>
      <c r="B10" s="1" t="s">
        <v>30</v>
      </c>
      <c r="C10" s="1">
        <v>21</v>
      </c>
      <c r="D10" s="1" t="s">
        <v>10</v>
      </c>
      <c r="E10" s="1" t="s">
        <v>19</v>
      </c>
      <c r="F10" s="1">
        <v>73</v>
      </c>
      <c r="G10" s="1">
        <v>90</v>
      </c>
      <c r="H10" s="1" t="s">
        <v>12</v>
      </c>
      <c r="I10" t="str">
        <f t="shared" si="0"/>
        <v>Eligible</v>
      </c>
      <c r="J10" t="str">
        <f t="shared" si="1"/>
        <v>No Reminder</v>
      </c>
      <c r="K10" t="str">
        <f t="shared" si="2"/>
        <v>Hostel Candidate</v>
      </c>
      <c r="L10" t="str">
        <f t="shared" si="3"/>
        <v>Adult</v>
      </c>
      <c r="M10" t="str">
        <f t="shared" si="4"/>
        <v>Eligible</v>
      </c>
      <c r="N10" t="str">
        <f t="shared" si="5"/>
        <v>Excellent</v>
      </c>
      <c r="O10" t="str">
        <f t="shared" si="6"/>
        <v>High</v>
      </c>
      <c r="P10" t="str">
        <f t="shared" si="7"/>
        <v>No</v>
      </c>
      <c r="T10" t="str">
        <v>S108</v>
      </c>
      <c r="U10" t="str">
        <v>Pooja</v>
      </c>
      <c r="V10">
        <v>21</v>
      </c>
      <c r="W10" t="str">
        <v>MCA</v>
      </c>
      <c r="X10" t="str">
        <v>Nashik</v>
      </c>
      <c r="Y10">
        <v>73</v>
      </c>
      <c r="Z10">
        <v>90</v>
      </c>
      <c r="AA10" t="str">
        <v>Yes</v>
      </c>
      <c r="AB10" t="str">
        <v>Eligible</v>
      </c>
      <c r="AC10" t="str">
        <v>No Reminder</v>
      </c>
      <c r="AD10" t="str">
        <v>Hostel Candidate</v>
      </c>
      <c r="AE10" t="str">
        <v>Adult</v>
      </c>
      <c r="AF10" t="str">
        <v>Eligible</v>
      </c>
      <c r="AG10" t="str">
        <v>Excellent</v>
      </c>
      <c r="AH10" t="str">
        <v>High</v>
      </c>
      <c r="AI10" t="str">
        <v>No</v>
      </c>
      <c r="AK10" s="5" t="s">
        <v>94</v>
      </c>
    </row>
    <row r="11" spans="1:53" ht="14.4" x14ac:dyDescent="0.3">
      <c r="A11" s="1" t="s">
        <v>31</v>
      </c>
      <c r="B11" s="1" t="s">
        <v>32</v>
      </c>
      <c r="C11" s="1">
        <v>24</v>
      </c>
      <c r="D11" s="1" t="s">
        <v>10</v>
      </c>
      <c r="E11" s="1" t="s">
        <v>11</v>
      </c>
      <c r="F11" s="1">
        <v>81</v>
      </c>
      <c r="G11" s="1">
        <v>95</v>
      </c>
      <c r="H11" s="1" t="s">
        <v>12</v>
      </c>
      <c r="I11" t="str">
        <f t="shared" si="0"/>
        <v>Eligible</v>
      </c>
      <c r="J11" t="str">
        <f t="shared" si="1"/>
        <v>No Reminder</v>
      </c>
      <c r="K11" t="str">
        <f t="shared" si="2"/>
        <v>Local</v>
      </c>
      <c r="L11" t="str">
        <f t="shared" si="3"/>
        <v>Adult</v>
      </c>
      <c r="M11" t="str">
        <f t="shared" si="4"/>
        <v>Eligible</v>
      </c>
      <c r="N11" t="str">
        <f t="shared" si="5"/>
        <v>Excellent</v>
      </c>
      <c r="O11" t="str">
        <f t="shared" si="6"/>
        <v>High</v>
      </c>
      <c r="P11" t="str">
        <f t="shared" si="7"/>
        <v>No</v>
      </c>
      <c r="T11" t="str">
        <v>S109</v>
      </c>
      <c r="U11" t="str">
        <v>Vikas</v>
      </c>
      <c r="V11">
        <v>24</v>
      </c>
      <c r="W11" t="str">
        <v>MCA</v>
      </c>
      <c r="X11" t="str">
        <v>Pune</v>
      </c>
      <c r="Y11">
        <v>81</v>
      </c>
      <c r="Z11">
        <v>95</v>
      </c>
      <c r="AA11" t="str">
        <v>Yes</v>
      </c>
      <c r="AB11" t="str">
        <v>Eligible</v>
      </c>
      <c r="AC11" t="str">
        <v>No Reminder</v>
      </c>
      <c r="AD11" t="str">
        <v>Local</v>
      </c>
      <c r="AE11" t="str">
        <v>Adult</v>
      </c>
      <c r="AF11" t="str">
        <v>Eligible</v>
      </c>
      <c r="AG11" t="str">
        <v>Excellent</v>
      </c>
      <c r="AH11" t="str">
        <v>High</v>
      </c>
      <c r="AI11" t="str">
        <v>No</v>
      </c>
      <c r="AK11" s="5" t="s">
        <v>99</v>
      </c>
    </row>
    <row r="12" spans="1:53" ht="14.4" x14ac:dyDescent="0.3">
      <c r="A12" s="1" t="s">
        <v>33</v>
      </c>
      <c r="B12" s="1" t="s">
        <v>34</v>
      </c>
      <c r="C12" s="1">
        <v>22</v>
      </c>
      <c r="D12" s="1" t="s">
        <v>10</v>
      </c>
      <c r="E12" s="1" t="s">
        <v>24</v>
      </c>
      <c r="F12" s="1">
        <v>49</v>
      </c>
      <c r="G12" s="1">
        <v>72</v>
      </c>
      <c r="H12" s="1" t="s">
        <v>16</v>
      </c>
      <c r="I12" t="str">
        <f t="shared" si="0"/>
        <v>Not Eligible</v>
      </c>
      <c r="J12" t="str">
        <f t="shared" si="1"/>
        <v>Send Reminder</v>
      </c>
      <c r="K12" t="str">
        <f t="shared" si="2"/>
        <v>Hostel Candidate</v>
      </c>
      <c r="L12" t="str">
        <f t="shared" si="3"/>
        <v>Adult</v>
      </c>
      <c r="M12" t="str">
        <f t="shared" si="4"/>
        <v>Not Eligible</v>
      </c>
      <c r="N12" t="str">
        <f t="shared" si="5"/>
        <v>Average</v>
      </c>
      <c r="O12" t="str">
        <f t="shared" si="6"/>
        <v>Low</v>
      </c>
      <c r="P12" t="str">
        <f t="shared" si="7"/>
        <v>Maybe</v>
      </c>
      <c r="T12" t="str">
        <v>S110</v>
      </c>
      <c r="U12" t="str">
        <v>Riya</v>
      </c>
      <c r="V12">
        <v>22</v>
      </c>
      <c r="W12" t="str">
        <v>MCA</v>
      </c>
      <c r="X12" t="str">
        <v>Nagpur</v>
      </c>
      <c r="Y12">
        <v>49</v>
      </c>
      <c r="Z12">
        <v>72</v>
      </c>
      <c r="AA12" t="str">
        <v>No</v>
      </c>
      <c r="AB12" t="str">
        <v>Not Eligible</v>
      </c>
      <c r="AC12" t="str">
        <v>Send Reminder</v>
      </c>
      <c r="AD12" t="str">
        <v>Hostel Candidate</v>
      </c>
      <c r="AE12" t="str">
        <v>Adult</v>
      </c>
      <c r="AF12" t="str">
        <v>Not Eligible</v>
      </c>
      <c r="AG12" t="str">
        <v>Average</v>
      </c>
      <c r="AH12" t="str">
        <v>Low</v>
      </c>
      <c r="AI12" t="str">
        <v>Maybe</v>
      </c>
    </row>
    <row r="13" spans="1:53" ht="14.4" x14ac:dyDescent="0.3">
      <c r="A13" s="1" t="s">
        <v>35</v>
      </c>
      <c r="B13" s="1" t="s">
        <v>9</v>
      </c>
      <c r="C13" s="1">
        <v>21</v>
      </c>
      <c r="D13" s="1" t="s">
        <v>10</v>
      </c>
      <c r="E13" s="1" t="s">
        <v>11</v>
      </c>
      <c r="F13" s="1">
        <v>85</v>
      </c>
      <c r="G13" s="1">
        <v>92</v>
      </c>
      <c r="H13" s="1" t="s">
        <v>12</v>
      </c>
      <c r="I13" t="str">
        <f t="shared" si="0"/>
        <v>Eligible</v>
      </c>
      <c r="J13" t="str">
        <f t="shared" si="1"/>
        <v>No Reminder</v>
      </c>
      <c r="K13" t="str">
        <f t="shared" si="2"/>
        <v>Local</v>
      </c>
      <c r="L13" t="str">
        <f t="shared" si="3"/>
        <v>Adult</v>
      </c>
      <c r="M13" t="str">
        <f t="shared" si="4"/>
        <v>Eligible</v>
      </c>
      <c r="N13" t="str">
        <f t="shared" si="5"/>
        <v>Excellent</v>
      </c>
      <c r="O13" t="str">
        <f t="shared" si="6"/>
        <v>High</v>
      </c>
      <c r="P13" t="str">
        <f t="shared" si="7"/>
        <v>No</v>
      </c>
      <c r="T13" t="str">
        <v>S111</v>
      </c>
      <c r="U13" t="str">
        <v>Aman</v>
      </c>
      <c r="V13">
        <v>21</v>
      </c>
      <c r="W13" t="str">
        <v>MCA</v>
      </c>
      <c r="X13" t="str">
        <v>Pune</v>
      </c>
      <c r="Y13">
        <v>85</v>
      </c>
      <c r="Z13">
        <v>92</v>
      </c>
      <c r="AA13" t="str">
        <v>Yes</v>
      </c>
      <c r="AB13" t="str">
        <v>Eligible</v>
      </c>
      <c r="AC13" t="str">
        <v>No Reminder</v>
      </c>
      <c r="AD13" t="str">
        <v>Local</v>
      </c>
      <c r="AE13" t="str">
        <v>Adult</v>
      </c>
      <c r="AF13" t="str">
        <v>Eligible</v>
      </c>
      <c r="AG13" t="str">
        <v>Excellent</v>
      </c>
      <c r="AH13" t="str">
        <v>High</v>
      </c>
      <c r="AI13" t="str">
        <v>No</v>
      </c>
      <c r="AK13" s="2" t="s">
        <v>100</v>
      </c>
    </row>
    <row r="14" spans="1:53" ht="14.4" x14ac:dyDescent="0.3">
      <c r="A14" s="1" t="s">
        <v>36</v>
      </c>
      <c r="B14" s="1" t="s">
        <v>23</v>
      </c>
      <c r="C14" s="1">
        <v>24</v>
      </c>
      <c r="D14" s="1" t="s">
        <v>10</v>
      </c>
      <c r="E14" s="1" t="s">
        <v>24</v>
      </c>
      <c r="F14" s="1">
        <v>39</v>
      </c>
      <c r="G14" s="1">
        <v>65</v>
      </c>
      <c r="H14" s="1" t="s">
        <v>16</v>
      </c>
      <c r="I14" t="str">
        <f t="shared" si="0"/>
        <v>Not Eligible</v>
      </c>
      <c r="J14" t="str">
        <f t="shared" si="1"/>
        <v>Send Reminder</v>
      </c>
      <c r="K14" t="str">
        <f t="shared" si="2"/>
        <v>Hostel Candidate</v>
      </c>
      <c r="L14" t="str">
        <f t="shared" si="3"/>
        <v>Adult</v>
      </c>
      <c r="M14" t="str">
        <f t="shared" si="4"/>
        <v>Not Eligible</v>
      </c>
      <c r="N14" t="str">
        <f t="shared" si="5"/>
        <v>Poor</v>
      </c>
      <c r="O14" t="str">
        <f t="shared" si="6"/>
        <v>Low</v>
      </c>
      <c r="P14" t="str">
        <f t="shared" si="7"/>
        <v>Yes</v>
      </c>
      <c r="T14" t="str">
        <v>S112</v>
      </c>
      <c r="U14" t="str">
        <v>Rahul</v>
      </c>
      <c r="V14">
        <v>24</v>
      </c>
      <c r="W14" t="str">
        <v>MCA</v>
      </c>
      <c r="X14" t="str">
        <v>Nagpur</v>
      </c>
      <c r="Y14">
        <v>39</v>
      </c>
      <c r="Z14">
        <v>65</v>
      </c>
      <c r="AA14" t="str">
        <v>No</v>
      </c>
      <c r="AB14" t="str">
        <v>Not Eligible</v>
      </c>
      <c r="AC14" t="str">
        <v>Send Reminder</v>
      </c>
      <c r="AD14" t="str">
        <v>Hostel Candidate</v>
      </c>
      <c r="AE14" t="str">
        <v>Adult</v>
      </c>
      <c r="AF14" t="str">
        <v>Not Eligible</v>
      </c>
      <c r="AG14" t="str">
        <v>Poor</v>
      </c>
      <c r="AH14" t="str">
        <v>Low</v>
      </c>
      <c r="AI14" t="str">
        <v>Yes</v>
      </c>
      <c r="AK14" s="5" t="s">
        <v>101</v>
      </c>
    </row>
    <row r="15" spans="1:53" ht="14.4" x14ac:dyDescent="0.3">
      <c r="A15" s="1"/>
      <c r="B15" s="1"/>
      <c r="C15" s="1"/>
      <c r="D15" s="1"/>
      <c r="E15" s="1"/>
      <c r="F15" s="1"/>
      <c r="G15" s="1"/>
      <c r="H15" s="1"/>
      <c r="AK15" s="5" t="s">
        <v>102</v>
      </c>
      <c r="AL15" s="2">
        <f>COUNTA(AL3:AL6)</f>
        <v>4</v>
      </c>
    </row>
    <row r="16" spans="1:53" ht="15" customHeight="1" x14ac:dyDescent="0.3">
      <c r="A16" s="2" t="s">
        <v>48</v>
      </c>
      <c r="D16" s="2" t="s">
        <v>54</v>
      </c>
    </row>
    <row r="17" spans="1:53" ht="15" customHeight="1" x14ac:dyDescent="0.3">
      <c r="A17" s="3" t="s">
        <v>37</v>
      </c>
      <c r="B17" s="2"/>
      <c r="D17" s="3" t="s">
        <v>37</v>
      </c>
      <c r="I17" s="2" t="s">
        <v>88</v>
      </c>
      <c r="J17" s="2" t="s">
        <v>90</v>
      </c>
      <c r="L17" s="2"/>
      <c r="R17" s="2" t="s">
        <v>92</v>
      </c>
    </row>
    <row r="18" spans="1:53" ht="15" customHeight="1" x14ac:dyDescent="0.3">
      <c r="A18" s="3" t="s">
        <v>38</v>
      </c>
      <c r="B18" s="2">
        <f>COUNTA(A3:A14)</f>
        <v>12</v>
      </c>
      <c r="D18" s="3" t="s">
        <v>53</v>
      </c>
      <c r="I18" s="6" t="s">
        <v>87</v>
      </c>
      <c r="J18" s="5" t="s">
        <v>89</v>
      </c>
      <c r="T18" s="1" t="s">
        <v>0</v>
      </c>
      <c r="U18" s="1" t="s">
        <v>1</v>
      </c>
      <c r="V18" s="1" t="s">
        <v>2</v>
      </c>
      <c r="W18" s="1" t="s">
        <v>3</v>
      </c>
      <c r="X18" s="1" t="s">
        <v>4</v>
      </c>
      <c r="Y18" s="1" t="s">
        <v>5</v>
      </c>
      <c r="Z18" s="1" t="s">
        <v>6</v>
      </c>
      <c r="AA18" s="1" t="s">
        <v>7</v>
      </c>
      <c r="AB18" s="3" t="s">
        <v>71</v>
      </c>
      <c r="AC18" s="3" t="s">
        <v>72</v>
      </c>
      <c r="AD18" s="3" t="s">
        <v>73</v>
      </c>
      <c r="AE18" s="3" t="s">
        <v>74</v>
      </c>
      <c r="AF18" s="3" t="s">
        <v>80</v>
      </c>
      <c r="AG18" s="3" t="s">
        <v>82</v>
      </c>
      <c r="AH18" s="3" t="s">
        <v>84</v>
      </c>
      <c r="AI18" s="3" t="s">
        <v>86</v>
      </c>
    </row>
    <row r="19" spans="1:53" ht="15" customHeight="1" x14ac:dyDescent="0.3">
      <c r="A19" s="2" t="s">
        <v>49</v>
      </c>
      <c r="B19" s="2"/>
      <c r="D19" s="3" t="s">
        <v>56</v>
      </c>
      <c r="E19" s="2">
        <f>COUNTIF(E3:E14,"Mumbai")</f>
        <v>2</v>
      </c>
      <c r="I19" t="str" cm="1">
        <f t="array" ref="I19:I25">_xlfn._xlws.FILTER(B3:B14,G3:G14&gt;80,"No name")</f>
        <v>Aman</v>
      </c>
      <c r="J19" t="str" cm="1">
        <f t="array" ref="J19:J23">_xlfn._xlws.FILTER(B3:B14,H3:H14 = "No")</f>
        <v>Priya</v>
      </c>
      <c r="Q19" s="7" t="s">
        <v>7</v>
      </c>
      <c r="R19" s="8" t="s">
        <v>12</v>
      </c>
      <c r="T19" t="str" cm="1">
        <f t="array" ref="T19:AI25">_xlfn._xlws.FILTER(A3:P14,H3:H14=R19,"Not Found")</f>
        <v>S101</v>
      </c>
      <c r="U19" t="str">
        <v>Aman</v>
      </c>
      <c r="V19">
        <v>21</v>
      </c>
      <c r="W19" t="str">
        <v>MCA</v>
      </c>
      <c r="X19" t="str">
        <v>Pune</v>
      </c>
      <c r="Y19">
        <v>85</v>
      </c>
      <c r="Z19">
        <v>92</v>
      </c>
      <c r="AA19" t="str">
        <v>Yes</v>
      </c>
      <c r="AB19" t="str">
        <v>Eligible</v>
      </c>
      <c r="AC19" t="str">
        <v>No Reminder</v>
      </c>
      <c r="AD19" t="str">
        <v>Local</v>
      </c>
      <c r="AE19" t="str">
        <v>Adult</v>
      </c>
      <c r="AF19" t="str">
        <v>Eligible</v>
      </c>
      <c r="AG19" t="str">
        <v>Excellent</v>
      </c>
      <c r="AH19" t="str">
        <v>High</v>
      </c>
      <c r="AI19" t="str">
        <v>No</v>
      </c>
      <c r="AL19" s="5"/>
      <c r="AM19" s="1"/>
      <c r="AN19" s="1"/>
      <c r="AO19" s="1"/>
      <c r="AP19" s="1"/>
      <c r="AQ19" s="1"/>
      <c r="AR19" s="1"/>
      <c r="AS19" s="1"/>
      <c r="AT19" s="3"/>
      <c r="AU19" s="3"/>
      <c r="AV19" s="3"/>
      <c r="AW19" s="3"/>
      <c r="AX19" s="3"/>
      <c r="AY19" s="3"/>
      <c r="AZ19" s="3"/>
      <c r="BA19" s="3"/>
    </row>
    <row r="20" spans="1:53" ht="15" customHeight="1" x14ac:dyDescent="0.3">
      <c r="A20" s="3" t="s">
        <v>39</v>
      </c>
      <c r="B20" s="2"/>
      <c r="D20" s="2" t="s">
        <v>60</v>
      </c>
      <c r="E20" s="2"/>
      <c r="I20" t="str">
        <v>Rohit</v>
      </c>
      <c r="J20" t="str">
        <v>Rahul</v>
      </c>
      <c r="T20" t="str">
        <v>S103</v>
      </c>
      <c r="U20" t="str">
        <v>Rohit</v>
      </c>
      <c r="V20">
        <v>23</v>
      </c>
      <c r="W20" t="str">
        <v>MCA</v>
      </c>
      <c r="X20" t="str">
        <v>Nashik</v>
      </c>
      <c r="Y20">
        <v>78</v>
      </c>
      <c r="Z20">
        <v>88</v>
      </c>
      <c r="AA20" t="str">
        <v>Yes</v>
      </c>
      <c r="AB20" t="str">
        <v>Eligible</v>
      </c>
      <c r="AC20" t="str">
        <v>No Reminder</v>
      </c>
      <c r="AD20" t="str">
        <v>Hostel Candidate</v>
      </c>
      <c r="AE20" t="str">
        <v>Adult</v>
      </c>
      <c r="AF20" t="str">
        <v>Eligible</v>
      </c>
      <c r="AG20" t="str">
        <v>Good</v>
      </c>
      <c r="AH20" t="str">
        <v>Medium</v>
      </c>
      <c r="AI20" t="str">
        <v>No</v>
      </c>
      <c r="AL20" s="1"/>
      <c r="AM20" s="1"/>
      <c r="AN20" s="1"/>
      <c r="AO20" s="1"/>
      <c r="AP20" s="1"/>
      <c r="AQ20" s="1"/>
      <c r="AR20" s="1"/>
      <c r="AS20" s="1"/>
    </row>
    <row r="21" spans="1:53" ht="15" customHeight="1" x14ac:dyDescent="0.3">
      <c r="A21" s="3" t="s">
        <v>40</v>
      </c>
      <c r="B21" s="2">
        <f>COUNTA(_xlfn.UNIQUE(E3:E14))</f>
        <v>4</v>
      </c>
      <c r="D21" s="3" t="s">
        <v>57</v>
      </c>
      <c r="E21" s="2"/>
      <c r="I21" t="str">
        <v>Neha</v>
      </c>
      <c r="J21" t="str">
        <v>Karan</v>
      </c>
      <c r="T21" t="str">
        <v>S104</v>
      </c>
      <c r="U21" t="str">
        <v>Neha</v>
      </c>
      <c r="V21">
        <v>20</v>
      </c>
      <c r="W21" t="str">
        <v>MCA</v>
      </c>
      <c r="X21" t="str">
        <v>Pune</v>
      </c>
      <c r="Y21">
        <v>91</v>
      </c>
      <c r="Z21">
        <v>96</v>
      </c>
      <c r="AA21" t="str">
        <v>Yes</v>
      </c>
      <c r="AB21" t="str">
        <v>Eligible</v>
      </c>
      <c r="AC21" t="str">
        <v>No Reminder</v>
      </c>
      <c r="AD21" t="str">
        <v>Local</v>
      </c>
      <c r="AE21" t="str">
        <v>Minor</v>
      </c>
      <c r="AF21" t="str">
        <v>Eligible</v>
      </c>
      <c r="AG21" t="str">
        <v>Excellent</v>
      </c>
      <c r="AH21" t="str">
        <v>High</v>
      </c>
      <c r="AI21" t="str">
        <v>No</v>
      </c>
      <c r="AL21" s="1"/>
      <c r="AM21" s="1"/>
      <c r="AN21" s="1"/>
      <c r="AO21" s="1"/>
      <c r="AP21" s="1"/>
      <c r="AQ21" s="1"/>
      <c r="AR21" s="1"/>
      <c r="AS21" s="1"/>
    </row>
    <row r="22" spans="1:53" ht="15" customHeight="1" x14ac:dyDescent="0.3">
      <c r="A22" s="2" t="s">
        <v>50</v>
      </c>
      <c r="B22" s="2"/>
      <c r="D22" s="3" t="s">
        <v>58</v>
      </c>
      <c r="E22" s="2"/>
      <c r="I22" t="str">
        <v>Sneha</v>
      </c>
      <c r="J22" t="str">
        <v>Riya</v>
      </c>
      <c r="T22" t="str">
        <v>S106</v>
      </c>
      <c r="U22" t="str">
        <v>Sneha</v>
      </c>
      <c r="V22">
        <v>22</v>
      </c>
      <c r="W22" t="str">
        <v>MCA</v>
      </c>
      <c r="X22" t="str">
        <v>Mumbai</v>
      </c>
      <c r="Y22">
        <v>66</v>
      </c>
      <c r="Z22">
        <v>82</v>
      </c>
      <c r="AA22" t="str">
        <v>Yes</v>
      </c>
      <c r="AB22" t="str">
        <v>Eligible</v>
      </c>
      <c r="AC22" t="str">
        <v>No Reminder</v>
      </c>
      <c r="AD22" t="str">
        <v>Hostel Candidate</v>
      </c>
      <c r="AE22" t="str">
        <v>Adult</v>
      </c>
      <c r="AF22" t="str">
        <v>Not Eligible</v>
      </c>
      <c r="AG22" t="str">
        <v>Good</v>
      </c>
      <c r="AH22" t="str">
        <v>Medium</v>
      </c>
      <c r="AI22" t="str">
        <v>No</v>
      </c>
      <c r="AL22" s="1"/>
      <c r="AM22" s="1"/>
      <c r="AN22" s="1"/>
      <c r="AO22" s="1"/>
      <c r="AP22" s="1"/>
      <c r="AQ22" s="1"/>
      <c r="AR22" s="1"/>
      <c r="AS22" s="1"/>
    </row>
    <row r="23" spans="1:53" ht="15.75" customHeight="1" x14ac:dyDescent="0.3">
      <c r="A23" s="3" t="s">
        <v>37</v>
      </c>
      <c r="B23" s="2"/>
      <c r="D23" s="3" t="s">
        <v>59</v>
      </c>
      <c r="E23" s="2">
        <f>COUNTIF(G3:G14,  "&gt; 80")</f>
        <v>7</v>
      </c>
      <c r="I23" t="str">
        <v>Pooja</v>
      </c>
      <c r="J23" t="str">
        <v>Rahul</v>
      </c>
      <c r="T23" t="str">
        <v>S108</v>
      </c>
      <c r="U23" t="str">
        <v>Pooja</v>
      </c>
      <c r="V23">
        <v>21</v>
      </c>
      <c r="W23" t="str">
        <v>MCA</v>
      </c>
      <c r="X23" t="str">
        <v>Nashik</v>
      </c>
      <c r="Y23">
        <v>73</v>
      </c>
      <c r="Z23">
        <v>90</v>
      </c>
      <c r="AA23" t="str">
        <v>Yes</v>
      </c>
      <c r="AB23" t="str">
        <v>Eligible</v>
      </c>
      <c r="AC23" t="str">
        <v>No Reminder</v>
      </c>
      <c r="AD23" t="str">
        <v>Hostel Candidate</v>
      </c>
      <c r="AE23" t="str">
        <v>Adult</v>
      </c>
      <c r="AF23" t="str">
        <v>Eligible</v>
      </c>
      <c r="AG23" t="str">
        <v>Excellent</v>
      </c>
      <c r="AH23" t="str">
        <v>High</v>
      </c>
      <c r="AI23" t="str">
        <v>No</v>
      </c>
      <c r="AL23" s="1"/>
      <c r="AM23" s="1"/>
      <c r="AN23" s="1"/>
      <c r="AO23" s="1"/>
      <c r="AP23" s="1"/>
      <c r="AQ23" s="1"/>
      <c r="AR23" s="1"/>
      <c r="AS23" s="1"/>
    </row>
    <row r="24" spans="1:53" ht="15.75" customHeight="1" x14ac:dyDescent="0.3">
      <c r="A24" s="3" t="s">
        <v>41</v>
      </c>
      <c r="B24" s="2"/>
      <c r="D24" s="2" t="s">
        <v>61</v>
      </c>
      <c r="E24" s="2"/>
      <c r="I24" t="str">
        <v>Vikas</v>
      </c>
      <c r="T24" t="str">
        <v>S109</v>
      </c>
      <c r="U24" t="str">
        <v>Vikas</v>
      </c>
      <c r="V24">
        <v>24</v>
      </c>
      <c r="W24" t="str">
        <v>MCA</v>
      </c>
      <c r="X24" t="str">
        <v>Pune</v>
      </c>
      <c r="Y24">
        <v>81</v>
      </c>
      <c r="Z24">
        <v>95</v>
      </c>
      <c r="AA24" t="str">
        <v>Yes</v>
      </c>
      <c r="AB24" t="str">
        <v>Eligible</v>
      </c>
      <c r="AC24" t="str">
        <v>No Reminder</v>
      </c>
      <c r="AD24" t="str">
        <v>Local</v>
      </c>
      <c r="AE24" t="str">
        <v>Adult</v>
      </c>
      <c r="AF24" t="str">
        <v>Eligible</v>
      </c>
      <c r="AG24" t="str">
        <v>Excellent</v>
      </c>
      <c r="AH24" t="str">
        <v>High</v>
      </c>
      <c r="AI24" t="str">
        <v>No</v>
      </c>
      <c r="AL24" s="1"/>
      <c r="AM24" s="1"/>
      <c r="AN24" s="1"/>
      <c r="AO24" s="1"/>
      <c r="AP24" s="1"/>
      <c r="AQ24" s="1"/>
      <c r="AR24" s="1"/>
      <c r="AS24" s="1"/>
    </row>
    <row r="25" spans="1:53" ht="15.75" customHeight="1" x14ac:dyDescent="0.3">
      <c r="A25" s="3" t="s">
        <v>42</v>
      </c>
      <c r="B25" s="2"/>
      <c r="D25" s="3" t="s">
        <v>57</v>
      </c>
      <c r="E25" s="2"/>
      <c r="I25" t="str">
        <v>Aman</v>
      </c>
      <c r="T25" t="str">
        <v>S111</v>
      </c>
      <c r="U25" t="str">
        <v>Aman</v>
      </c>
      <c r="V25">
        <v>21</v>
      </c>
      <c r="W25" t="str">
        <v>MCA</v>
      </c>
      <c r="X25" t="str">
        <v>Pune</v>
      </c>
      <c r="Y25">
        <v>85</v>
      </c>
      <c r="Z25">
        <v>92</v>
      </c>
      <c r="AA25" t="str">
        <v>Yes</v>
      </c>
      <c r="AB25" t="str">
        <v>Eligible</v>
      </c>
      <c r="AC25" t="str">
        <v>No Reminder</v>
      </c>
      <c r="AD25" t="str">
        <v>Local</v>
      </c>
      <c r="AE25" t="str">
        <v>Adult</v>
      </c>
      <c r="AF25" t="str">
        <v>Eligible</v>
      </c>
      <c r="AG25" t="str">
        <v>Excellent</v>
      </c>
      <c r="AH25" t="str">
        <v>High</v>
      </c>
      <c r="AI25" t="str">
        <v>No</v>
      </c>
      <c r="AL25" s="1"/>
      <c r="AM25" s="1"/>
      <c r="AN25" s="1"/>
      <c r="AO25" s="1"/>
      <c r="AP25" s="1"/>
      <c r="AQ25" s="1"/>
      <c r="AR25" s="1"/>
      <c r="AS25" s="1"/>
    </row>
    <row r="26" spans="1:53" ht="15.75" customHeight="1" x14ac:dyDescent="0.3">
      <c r="A26" s="3" t="s">
        <v>43</v>
      </c>
      <c r="B26" s="2">
        <f>COUNTIF(H3:H14,"Yes")</f>
        <v>7</v>
      </c>
      <c r="D26" s="3" t="s">
        <v>63</v>
      </c>
      <c r="E26" s="2"/>
      <c r="AL26" s="1"/>
      <c r="AM26" s="1"/>
      <c r="AN26" s="1"/>
      <c r="AO26" s="1"/>
      <c r="AP26" s="1"/>
      <c r="AQ26" s="1"/>
      <c r="AR26" s="1"/>
      <c r="AS26" s="1"/>
    </row>
    <row r="27" spans="1:53" ht="15.75" customHeight="1" x14ac:dyDescent="0.3">
      <c r="A27" s="2" t="s">
        <v>51</v>
      </c>
      <c r="B27" s="2"/>
      <c r="D27" s="3" t="s">
        <v>62</v>
      </c>
      <c r="E27" s="2">
        <f xml:space="preserve"> COUNTIF(C3:C14,"&gt; 22")</f>
        <v>5</v>
      </c>
      <c r="AL27" s="1"/>
      <c r="AM27" s="1"/>
      <c r="AN27" s="1"/>
      <c r="AO27" s="1"/>
      <c r="AP27" s="1"/>
      <c r="AQ27" s="1"/>
      <c r="AR27" s="1"/>
      <c r="AS27" s="1"/>
    </row>
    <row r="28" spans="1:53" ht="15.75" customHeight="1" x14ac:dyDescent="0.3">
      <c r="A28" s="3" t="s">
        <v>47</v>
      </c>
      <c r="B28" s="2"/>
      <c r="D28" s="2" t="s">
        <v>64</v>
      </c>
      <c r="E28" s="2"/>
      <c r="AL28" s="1"/>
      <c r="AM28" s="1"/>
      <c r="AN28" s="1"/>
      <c r="AO28" s="1"/>
      <c r="AP28" s="1"/>
      <c r="AQ28" s="1"/>
      <c r="AR28" s="1"/>
      <c r="AS28" s="1"/>
    </row>
    <row r="29" spans="1:53" ht="15.75" customHeight="1" x14ac:dyDescent="0.3">
      <c r="A29" s="3" t="s">
        <v>41</v>
      </c>
      <c r="B29" s="2"/>
      <c r="D29" s="3" t="s">
        <v>57</v>
      </c>
      <c r="E29" s="2"/>
      <c r="AL29" s="1"/>
      <c r="AM29" s="1"/>
      <c r="AN29" s="1"/>
      <c r="AO29" s="1"/>
      <c r="AP29" s="1"/>
      <c r="AQ29" s="1"/>
      <c r="AR29" s="1"/>
      <c r="AS29" s="1"/>
    </row>
    <row r="30" spans="1:53" ht="15.75" customHeight="1" x14ac:dyDescent="0.3">
      <c r="A30" s="3" t="s">
        <v>44</v>
      </c>
      <c r="B30" s="2"/>
      <c r="D30" s="3" t="s">
        <v>65</v>
      </c>
      <c r="E30" s="2"/>
    </row>
    <row r="31" spans="1:53" ht="15.75" customHeight="1" x14ac:dyDescent="0.3">
      <c r="A31" s="3" t="s">
        <v>45</v>
      </c>
      <c r="B31" s="2"/>
      <c r="D31" s="3" t="s">
        <v>66</v>
      </c>
      <c r="E31" s="2">
        <f>COUNTIF(D3:D14,"MCA")</f>
        <v>12</v>
      </c>
    </row>
    <row r="32" spans="1:53" ht="15.75" customHeight="1" x14ac:dyDescent="0.3">
      <c r="A32" s="3" t="s">
        <v>46</v>
      </c>
      <c r="B32" s="2">
        <f>COUNTIF(H3:H14,"No")</f>
        <v>5</v>
      </c>
      <c r="D32" s="2" t="s">
        <v>67</v>
      </c>
      <c r="E32" s="2"/>
    </row>
    <row r="33" spans="1:53" ht="15.75" customHeight="1" x14ac:dyDescent="0.3">
      <c r="A33" s="2" t="s">
        <v>52</v>
      </c>
      <c r="D33" s="3" t="s">
        <v>68</v>
      </c>
      <c r="E33" s="2"/>
    </row>
    <row r="34" spans="1:53" ht="15.75" customHeight="1" x14ac:dyDescent="0.3">
      <c r="A34" s="3" t="s">
        <v>37</v>
      </c>
      <c r="D34" s="3" t="s">
        <v>69</v>
      </c>
      <c r="E34" s="2"/>
      <c r="AL34" s="5"/>
      <c r="AM34" s="1"/>
      <c r="AN34" s="1"/>
      <c r="AO34" s="1"/>
      <c r="AP34" s="1"/>
      <c r="AQ34" s="1"/>
      <c r="AR34" s="1"/>
      <c r="AS34" s="1"/>
      <c r="AT34" s="3"/>
      <c r="AU34" s="3"/>
      <c r="AV34" s="3"/>
      <c r="AW34" s="3"/>
      <c r="AX34" s="3"/>
      <c r="AY34" s="3"/>
      <c r="AZ34" s="3"/>
      <c r="BA34" s="3"/>
    </row>
    <row r="35" spans="1:53" ht="15.75" customHeight="1" x14ac:dyDescent="0.3">
      <c r="A35" s="3" t="s">
        <v>53</v>
      </c>
      <c r="D35" s="3" t="s">
        <v>70</v>
      </c>
      <c r="E35" s="4">
        <f>((7/12)*100)%</f>
        <v>0.58333333333333337</v>
      </c>
      <c r="AL35" s="1"/>
      <c r="AM35" s="1"/>
      <c r="AN35" s="1"/>
      <c r="AO35" s="1"/>
      <c r="AP35" s="1"/>
      <c r="AQ35" s="1"/>
      <c r="AR35" s="1"/>
      <c r="AS35" s="1"/>
    </row>
    <row r="36" spans="1:53" ht="15.75" customHeight="1" x14ac:dyDescent="0.3">
      <c r="A36" s="3" t="s">
        <v>55</v>
      </c>
      <c r="B36" s="2">
        <f>COUNTIF(E3:E14,"Pune")</f>
        <v>5</v>
      </c>
      <c r="AL36" s="1"/>
      <c r="AM36" s="1"/>
      <c r="AN36" s="1"/>
      <c r="AO36" s="1"/>
      <c r="AP36" s="1"/>
      <c r="AQ36" s="1"/>
      <c r="AR36" s="1"/>
      <c r="AS36" s="1"/>
    </row>
    <row r="37" spans="1:53" ht="15.75" customHeight="1" x14ac:dyDescent="0.3">
      <c r="AL37" s="1"/>
      <c r="AM37" s="1"/>
      <c r="AN37" s="1"/>
      <c r="AO37" s="1"/>
      <c r="AP37" s="1"/>
      <c r="AQ37" s="1"/>
      <c r="AR37" s="1"/>
      <c r="AS37" s="1"/>
    </row>
    <row r="38" spans="1:53" ht="15.75" customHeight="1" x14ac:dyDescent="0.3">
      <c r="AL38" s="1"/>
      <c r="AM38" s="1"/>
      <c r="AN38" s="1"/>
      <c r="AO38" s="1"/>
      <c r="AP38" s="1"/>
      <c r="AQ38" s="1"/>
      <c r="AR38" s="1"/>
      <c r="AS38" s="1"/>
    </row>
    <row r="39" spans="1:53" ht="15.75" customHeight="1" x14ac:dyDescent="0.3"/>
    <row r="40" spans="1:53" ht="15.75" customHeight="1" x14ac:dyDescent="0.3"/>
    <row r="41" spans="1:53" ht="15.75" customHeight="1" x14ac:dyDescent="0.3"/>
    <row r="42" spans="1:53" ht="15.75" customHeight="1" x14ac:dyDescent="0.3"/>
    <row r="43" spans="1:53" ht="15.75" customHeight="1" x14ac:dyDescent="0.3"/>
    <row r="44" spans="1:53" ht="15.75" customHeight="1" x14ac:dyDescent="0.3"/>
    <row r="45" spans="1:53" ht="15.75" customHeight="1" x14ac:dyDescent="0.3"/>
    <row r="46" spans="1:53" ht="15.75" customHeight="1" x14ac:dyDescent="0.3"/>
    <row r="47" spans="1:53" ht="15.75" customHeight="1" x14ac:dyDescent="0.3"/>
    <row r="48" spans="1:5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conditionalFormatting sqref="B3:B14">
    <cfRule type="duplicateValues" dxfId="9" priority="15"/>
    <cfRule type="duplicateValues" dxfId="8" priority="20"/>
  </conditionalFormatting>
  <conditionalFormatting sqref="C3:C14">
    <cfRule type="cellIs" dxfId="7" priority="16" operator="greaterThan">
      <formula>22</formula>
    </cfRule>
  </conditionalFormatting>
  <conditionalFormatting sqref="E3:E14">
    <cfRule type="cellIs" dxfId="6" priority="17" operator="equal">
      <formula>"Pune"</formula>
    </cfRule>
  </conditionalFormatting>
  <conditionalFormatting sqref="G3:G14">
    <cfRule type="cellIs" dxfId="5" priority="18" operator="lessThan">
      <formula>75</formula>
    </cfRule>
  </conditionalFormatting>
  <conditionalFormatting sqref="H3:H14">
    <cfRule type="cellIs" dxfId="4" priority="19" operator="equal">
      <formula>"No"</formula>
    </cfRule>
  </conditionalFormatting>
  <conditionalFormatting sqref="AM20:AM29">
    <cfRule type="duplicateValues" dxfId="3" priority="3"/>
    <cfRule type="duplicateValues" dxfId="2" priority="8"/>
  </conditionalFormatting>
  <conditionalFormatting sqref="AM35:AM38">
    <cfRule type="duplicateValues" dxfId="1" priority="1"/>
    <cfRule type="duplicateValues" dxfId="0" priority="2"/>
  </conditionalFormatting>
  <dataValidations count="4">
    <dataValidation type="list" allowBlank="1" showInputMessage="1" showErrorMessage="1" sqref="R3" xr:uid="{A9533D49-7CC9-4E9A-9A8D-FA431710E4C8}">
      <formula1>"MCA"</formula1>
    </dataValidation>
    <dataValidation type="list" allowBlank="1" showInputMessage="1" showErrorMessage="1" sqref="R19" xr:uid="{146F29BB-2C2B-423F-ADA3-96BAB54EB6CB}">
      <formula1>"Yes, No"</formula1>
    </dataValidation>
    <dataValidation type="whole" allowBlank="1" showInputMessage="1" showErrorMessage="1" errorTitle="Age Limit" error="Input age should be between 18 years to 30 years." promptTitle="Age Limit" prompt="Enter age between 18 years to 30 years._x000a_" sqref="C3:C14" xr:uid="{11E6862B-3BDC-4EB5-8DF6-5BEED138A820}">
      <formula1>18</formula1>
      <formula2>30</formula2>
    </dataValidation>
    <dataValidation type="whole" allowBlank="1" showInputMessage="1" showErrorMessage="1" errorTitle="Attendance Limit" error="Attendance should be between 0 to 100._x000a_" promptTitle="Attendance" prompt="Attendance should be between 0 to 100." sqref="G3:G14" xr:uid="{FF87BC7A-8319-4302-8EA2-2D23AAF4F65E}">
      <formula1>0</formula1>
      <formula2>100</formula2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309B-947D-40A5-BFBA-99979503A836}">
  <dimension ref="A1:I12"/>
  <sheetViews>
    <sheetView showGridLines="0" zoomScale="79" workbookViewId="0">
      <selection activeCell="L10" sqref="L10"/>
    </sheetView>
  </sheetViews>
  <sheetFormatPr defaultRowHeight="22.8" x14ac:dyDescent="0.4"/>
  <cols>
    <col min="1" max="1" width="12.21875" style="9" customWidth="1"/>
    <col min="2" max="2" width="14.6640625" style="9" customWidth="1"/>
    <col min="3" max="3" width="15.33203125" style="9" customWidth="1"/>
    <col min="4" max="4" width="12.6640625" style="9" customWidth="1"/>
    <col min="5" max="5" width="13.6640625" style="9" customWidth="1"/>
    <col min="6" max="6" width="20.5546875" style="9" customWidth="1"/>
    <col min="7" max="7" width="21.33203125" style="9" customWidth="1"/>
    <col min="8" max="8" width="14.21875" style="9" customWidth="1"/>
    <col min="9" max="9" width="18.77734375" style="9" customWidth="1"/>
    <col min="10" max="16384" width="8.88671875" style="9"/>
  </cols>
  <sheetData>
    <row r="1" spans="1:9" ht="31.8" x14ac:dyDescent="0.5">
      <c r="A1" s="16" t="s">
        <v>111</v>
      </c>
      <c r="B1" s="14"/>
      <c r="C1" s="14"/>
      <c r="D1" s="14"/>
      <c r="E1" s="14"/>
      <c r="F1" s="14"/>
      <c r="G1" s="14"/>
      <c r="H1" s="14"/>
      <c r="I1" s="14"/>
    </row>
    <row r="2" spans="1:9" x14ac:dyDescent="0.4">
      <c r="A2" s="11" t="s">
        <v>103</v>
      </c>
      <c r="B2" s="11" t="s">
        <v>114</v>
      </c>
      <c r="C2" s="11" t="s">
        <v>104</v>
      </c>
      <c r="D2" s="11" t="s">
        <v>105</v>
      </c>
      <c r="E2" s="11" t="s">
        <v>106</v>
      </c>
      <c r="F2" s="11" t="s">
        <v>107</v>
      </c>
      <c r="G2" s="11" t="s">
        <v>108</v>
      </c>
      <c r="H2" s="11" t="s">
        <v>109</v>
      </c>
      <c r="I2" s="11" t="s">
        <v>110</v>
      </c>
    </row>
    <row r="3" spans="1:9" x14ac:dyDescent="0.4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4">
      <c r="A4" s="12">
        <f>COUNTA(Student_Data!B3:B14)</f>
        <v>12</v>
      </c>
      <c r="B4" s="12">
        <f>COUNTIF(Student_Data!E3:E14,"Pune")</f>
        <v>5</v>
      </c>
      <c r="C4" s="12">
        <f>COUNTIF(Student_Data!K3:K14,"Hostel Candidate")</f>
        <v>7</v>
      </c>
      <c r="D4" s="12">
        <f>COUNTIF(Student_Data!H3:H14,"Yes")</f>
        <v>7</v>
      </c>
      <c r="E4" s="12">
        <f>COUNTIF(Student_Data!H3:H14,"No")</f>
        <v>5</v>
      </c>
      <c r="F4" s="12">
        <f>COUNTIF(Student_Data!I3:I14,"Eligible")</f>
        <v>7</v>
      </c>
      <c r="G4" s="12">
        <f>COUNTIF(Student_Data!I3:I14,"Not Eligible")</f>
        <v>5</v>
      </c>
      <c r="H4" s="13">
        <f>AVERAGE(Student_Data!G3:G14)/100</f>
        <v>0.81833333333333325</v>
      </c>
      <c r="I4" s="12">
        <f>COUNTIF(Student_Data!C3:C14,"&gt;22")</f>
        <v>5</v>
      </c>
    </row>
    <row r="5" spans="1:9" x14ac:dyDescent="0.4">
      <c r="H5" s="10"/>
    </row>
    <row r="8" spans="1:9" ht="45.6" x14ac:dyDescent="0.4">
      <c r="A8" s="17" t="s">
        <v>113</v>
      </c>
      <c r="B8" s="18" t="s">
        <v>112</v>
      </c>
    </row>
    <row r="9" spans="1:9" x14ac:dyDescent="0.4">
      <c r="A9" s="15" t="s">
        <v>11</v>
      </c>
      <c r="B9" s="12">
        <f>COUNTIF(Student_Data!E3:E14,"Pune")</f>
        <v>5</v>
      </c>
    </row>
    <row r="10" spans="1:9" ht="22.8" customHeight="1" x14ac:dyDescent="0.4">
      <c r="A10" s="15" t="s">
        <v>15</v>
      </c>
      <c r="B10" s="12">
        <f>COUNTIF(Student_Data!E4:E15,"Mumbai")</f>
        <v>2</v>
      </c>
    </row>
    <row r="11" spans="1:9" x14ac:dyDescent="0.4">
      <c r="A11" s="15" t="s">
        <v>19</v>
      </c>
      <c r="B11" s="12">
        <f>COUNTIF(Student_Data!E5:E16,"Nashik")</f>
        <v>2</v>
      </c>
    </row>
    <row r="12" spans="1:9" x14ac:dyDescent="0.4">
      <c r="A12" s="15" t="s">
        <v>24</v>
      </c>
      <c r="B12" s="12">
        <f>COUNTIF(Student_Data!E6:E17,"Pune")</f>
        <v>4</v>
      </c>
    </row>
  </sheetData>
  <mergeCells count="10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Student_Data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Jiya Wadhwani</cp:lastModifiedBy>
  <dcterms:created xsi:type="dcterms:W3CDTF">2026-07-07T13:06:59Z</dcterms:created>
  <dcterms:modified xsi:type="dcterms:W3CDTF">2026-07-11T12:42:22Z</dcterms:modified>
</cp:coreProperties>
</file>