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C7729C53-684C-49AA-9F3B-2AE7E7C6EBC5}" xr6:coauthVersionLast="47" xr6:coauthVersionMax="47" xr10:uidLastSave="{00000000-0000-0000-0000-000000000000}"/>
  <bookViews>
    <workbookView xWindow="-108" yWindow="-108" windowWidth="23256" windowHeight="12456" xr2:uid="{05B67D20-4357-4EC0-98BB-192226E0D9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J7" i="1"/>
  <c r="J8" i="1"/>
  <c r="J9" i="1"/>
  <c r="J10" i="1"/>
  <c r="J11" i="1"/>
  <c r="J12" i="1"/>
  <c r="J13" i="1"/>
  <c r="J14" i="1"/>
  <c r="J5" i="1"/>
  <c r="H6" i="1"/>
  <c r="H7" i="1"/>
  <c r="H8" i="1"/>
  <c r="H9" i="1"/>
  <c r="H10" i="1"/>
  <c r="H11" i="1"/>
  <c r="H12" i="1"/>
  <c r="H13" i="1"/>
  <c r="H14" i="1"/>
  <c r="H5" i="1"/>
  <c r="I11" i="1" l="1"/>
  <c r="I12" i="1"/>
  <c r="I13" i="1"/>
  <c r="I14" i="1"/>
  <c r="I5" i="1"/>
  <c r="L13" i="1" a="1"/>
  <c r="K6" i="1"/>
  <c r="K7" i="1"/>
  <c r="K8" i="1"/>
  <c r="K9" i="1"/>
  <c r="K10" i="1"/>
  <c r="K11" i="1"/>
  <c r="K12" i="1"/>
  <c r="K13" i="1"/>
  <c r="K14" i="1"/>
  <c r="K5" i="1"/>
  <c r="I6" i="1"/>
  <c r="L6" i="1" s="1" a="1"/>
  <c r="I7" i="1"/>
  <c r="L7" i="1" s="1" a="1"/>
  <c r="I8" i="1"/>
  <c r="L8" i="1" s="1" a="1"/>
  <c r="I9" i="1"/>
  <c r="L9" i="1" s="1" a="1"/>
  <c r="I10" i="1"/>
  <c r="L10" i="1" s="1" a="1"/>
  <c r="L11" i="1" l="1" a="1"/>
  <c r="L12" i="1" a="1"/>
  <c r="L14" i="1" a="1"/>
  <c r="L5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<sst xmlns="http://schemas.openxmlformats.org/spreadsheetml/2006/main" count="23" uniqueCount="23">
  <si>
    <t>Roll No.</t>
  </si>
  <si>
    <t>Student Name</t>
  </si>
  <si>
    <t>Jiya Wadhwani</t>
  </si>
  <si>
    <t>Ruchika Kakwani</t>
  </si>
  <si>
    <t>Sameer Shende</t>
  </si>
  <si>
    <t>Tejas Dhumbare</t>
  </si>
  <si>
    <t>Arshil Hussain</t>
  </si>
  <si>
    <t>Pallavi Sathwane</t>
  </si>
  <si>
    <t>Shital Patle</t>
  </si>
  <si>
    <t>Kajal Nagpure</t>
  </si>
  <si>
    <t>Akshitha Lilhare</t>
  </si>
  <si>
    <t>Aryan Patil</t>
  </si>
  <si>
    <t>Science</t>
  </si>
  <si>
    <t>English</t>
  </si>
  <si>
    <t>History</t>
  </si>
  <si>
    <t>Computer</t>
  </si>
  <si>
    <t>Total Marks</t>
  </si>
  <si>
    <t>Percentage</t>
  </si>
  <si>
    <t>Overall Status (AND)</t>
  </si>
  <si>
    <t>Retest Required (OR)</t>
  </si>
  <si>
    <t>Final Grade</t>
  </si>
  <si>
    <t>Maths</t>
  </si>
  <si>
    <t>Assignment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</si>
</sst>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rgb="FFFF0000"/>
      <name val="Times New Roman"/>
      <family val="1"/>
    </font>
    <font>
      <b/>
      <sz val="14"/>
      <color theme="0"/>
      <name val="Times New Roman"/>
      <family val="1"/>
    </font>
    <font>
      <sz val="2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0066"/>
        <bgColor indexed="64"/>
      </patternFill>
    </fill>
    <fill>
      <patternFill patternType="solid">
        <fgColor theme="3" tint="0.7499923703726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4" fillId="2" borderId="1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2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66"/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ABF3E-59F6-453E-9D21-2C3F55CBB25F}">
  <dimension ref="A1:L15"/>
  <sheetViews>
    <sheetView tabSelected="1" zoomScaleNormal="100" workbookViewId="0">
      <selection activeCell="H23" sqref="H23"/>
    </sheetView>
  </sheetViews>
  <sheetFormatPr defaultRowHeight="13.8" x14ac:dyDescent="0.25"/>
  <cols>
    <col min="1" max="1" width="9.88671875" style="1" bestFit="1" customWidth="1"/>
    <col min="2" max="2" width="17.21875" style="1" bestFit="1" customWidth="1"/>
    <col min="3" max="3" width="8.21875" style="1" bestFit="1" customWidth="1"/>
    <col min="4" max="4" width="9.33203125" style="1" bestFit="1" customWidth="1"/>
    <col min="5" max="5" width="9" style="1" bestFit="1" customWidth="1"/>
    <col min="6" max="6" width="9.109375" style="1" bestFit="1" customWidth="1"/>
    <col min="7" max="7" width="12.44140625" style="1" bestFit="1" customWidth="1"/>
    <col min="8" max="8" width="14.88671875" style="1" bestFit="1" customWidth="1"/>
    <col min="9" max="9" width="13.77734375" style="1" bestFit="1" customWidth="1"/>
    <col min="10" max="10" width="25" style="1" bestFit="1" customWidth="1"/>
    <col min="11" max="11" width="25.88671875" style="1" bestFit="1" customWidth="1"/>
    <col min="12" max="12" width="14.44140625" style="1" bestFit="1" customWidth="1"/>
    <col min="13" max="16384" width="8.88671875" style="1"/>
  </cols>
  <sheetData>
    <row r="1" spans="1:12" x14ac:dyDescent="0.25">
      <c r="A1" s="7" t="s">
        <v>22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ht="9" customHeight="1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spans="1:12" ht="17.399999999999999" x14ac:dyDescent="0.3">
      <c r="A4" s="6" t="s">
        <v>0</v>
      </c>
      <c r="B4" s="6" t="s">
        <v>1</v>
      </c>
      <c r="C4" s="6" t="s">
        <v>21</v>
      </c>
      <c r="D4" s="6" t="s">
        <v>12</v>
      </c>
      <c r="E4" s="6" t="s">
        <v>13</v>
      </c>
      <c r="F4" s="6" t="s">
        <v>14</v>
      </c>
      <c r="G4" s="6" t="s">
        <v>15</v>
      </c>
      <c r="H4" s="6" t="s">
        <v>16</v>
      </c>
      <c r="I4" s="6" t="s">
        <v>17</v>
      </c>
      <c r="J4" s="6" t="s">
        <v>18</v>
      </c>
      <c r="K4" s="6" t="s">
        <v>19</v>
      </c>
      <c r="L4" s="6" t="s">
        <v>20</v>
      </c>
    </row>
    <row r="5" spans="1:12" ht="15.6" x14ac:dyDescent="0.3">
      <c r="A5" s="3">
        <v>101</v>
      </c>
      <c r="B5" s="4" t="s">
        <v>2</v>
      </c>
      <c r="C5" s="3">
        <v>22</v>
      </c>
      <c r="D5" s="3">
        <v>56</v>
      </c>
      <c r="E5" s="3">
        <v>44</v>
      </c>
      <c r="F5" s="3">
        <v>59</v>
      </c>
      <c r="G5" s="3">
        <v>68</v>
      </c>
      <c r="H5" s="3">
        <f>SUM(C5:G5)</f>
        <v>249</v>
      </c>
      <c r="I5" s="3">
        <f>AVERAGE(H5/5)</f>
        <v>49.8</v>
      </c>
      <c r="J5" s="5" t="str">
        <f>IF(AND(C5&gt;=35,D5&gt;=35,E5&gt;=35,F5&gt;=35,G5&gt;=35),"Promoted","Detained")</f>
        <v>Detained</v>
      </c>
      <c r="K5" s="5" t="str">
        <f>IF(J5="Detained","Yes","No")</f>
        <v>Yes</v>
      </c>
      <c r="L5" s="5" t="str" cm="1">
        <f t="array" ref="L5">_xlfn.IFS(I5&gt;=85,"O",I5&gt;=70,"A",I5&gt;=50,"B",I5&lt;50,"C")</f>
        <v>C</v>
      </c>
    </row>
    <row r="6" spans="1:12" ht="15.6" x14ac:dyDescent="0.3">
      <c r="A6" s="3">
        <v>102</v>
      </c>
      <c r="B6" s="4" t="s">
        <v>3</v>
      </c>
      <c r="C6" s="3">
        <v>52</v>
      </c>
      <c r="D6" s="3">
        <v>90</v>
      </c>
      <c r="E6" s="3">
        <v>84</v>
      </c>
      <c r="F6" s="3">
        <v>68</v>
      </c>
      <c r="G6" s="3">
        <v>30</v>
      </c>
      <c r="H6" s="3">
        <f t="shared" ref="H6:H14" si="0">SUM(C6:G6)</f>
        <v>324</v>
      </c>
      <c r="I6" s="3">
        <f t="shared" ref="I6:I14" si="1">AVERAGE(H6/5)</f>
        <v>64.8</v>
      </c>
      <c r="J6" s="5" t="str">
        <f t="shared" ref="J6:J14" si="2">IF(AND(C6&gt;=35,D6&gt;=35,E6&gt;=35,F6&gt;=35,G6&gt;=35),"Promoted","Detained")</f>
        <v>Detained</v>
      </c>
      <c r="K6" s="5" t="str">
        <f t="shared" ref="K6:K14" si="3">IF(J6="Detained","Yes","No")</f>
        <v>Yes</v>
      </c>
      <c r="L6" s="5" t="str" cm="1">
        <f t="array" ref="L6">_xlfn.IFS(I6&gt;=85,"O",I6&gt;=70,"A",I6&gt;=50,"B",I6&lt;50,"C")</f>
        <v>B</v>
      </c>
    </row>
    <row r="7" spans="1:12" ht="15.6" x14ac:dyDescent="0.3">
      <c r="A7" s="3">
        <v>103</v>
      </c>
      <c r="B7" s="4" t="s">
        <v>4</v>
      </c>
      <c r="C7" s="3">
        <v>71</v>
      </c>
      <c r="D7" s="3">
        <v>52</v>
      </c>
      <c r="E7" s="3">
        <v>80</v>
      </c>
      <c r="F7" s="3">
        <v>50</v>
      </c>
      <c r="G7" s="3">
        <v>45</v>
      </c>
      <c r="H7" s="3">
        <f t="shared" si="0"/>
        <v>298</v>
      </c>
      <c r="I7" s="3">
        <f t="shared" si="1"/>
        <v>59.6</v>
      </c>
      <c r="J7" s="5" t="str">
        <f t="shared" si="2"/>
        <v>Promoted</v>
      </c>
      <c r="K7" s="5" t="str">
        <f t="shared" si="3"/>
        <v>No</v>
      </c>
      <c r="L7" s="5" t="str" cm="1">
        <f t="array" ref="L7">_xlfn.IFS(I7&gt;=85,"O",I7&gt;=70,"A",I7&gt;=50,"B",I7&lt;50,"C")</f>
        <v>B</v>
      </c>
    </row>
    <row r="8" spans="1:12" ht="15.6" x14ac:dyDescent="0.3">
      <c r="A8" s="3">
        <v>104</v>
      </c>
      <c r="B8" s="4" t="s">
        <v>5</v>
      </c>
      <c r="C8" s="3">
        <v>75</v>
      </c>
      <c r="D8" s="3">
        <v>73</v>
      </c>
      <c r="E8" s="3">
        <v>76</v>
      </c>
      <c r="F8" s="3">
        <v>64</v>
      </c>
      <c r="G8" s="3">
        <v>54</v>
      </c>
      <c r="H8" s="3">
        <f t="shared" si="0"/>
        <v>342</v>
      </c>
      <c r="I8" s="3">
        <f t="shared" si="1"/>
        <v>68.400000000000006</v>
      </c>
      <c r="J8" s="5" t="str">
        <f t="shared" si="2"/>
        <v>Promoted</v>
      </c>
      <c r="K8" s="5" t="str">
        <f t="shared" si="3"/>
        <v>No</v>
      </c>
      <c r="L8" s="5" t="str" cm="1">
        <f t="array" ref="L8">_xlfn.IFS(I8&gt;=85,"O",I8&gt;=70,"A",I8&gt;=50,"B",I8&lt;50,"C")</f>
        <v>B</v>
      </c>
    </row>
    <row r="9" spans="1:12" ht="15.6" x14ac:dyDescent="0.3">
      <c r="A9" s="3">
        <v>105</v>
      </c>
      <c r="B9" s="4" t="s">
        <v>6</v>
      </c>
      <c r="C9" s="3">
        <v>40</v>
      </c>
      <c r="D9" s="3">
        <v>60</v>
      </c>
      <c r="E9" s="3">
        <v>54</v>
      </c>
      <c r="F9" s="3">
        <v>67</v>
      </c>
      <c r="G9" s="3">
        <v>49</v>
      </c>
      <c r="H9" s="3">
        <f t="shared" si="0"/>
        <v>270</v>
      </c>
      <c r="I9" s="3">
        <f t="shared" si="1"/>
        <v>54</v>
      </c>
      <c r="J9" s="5" t="str">
        <f t="shared" si="2"/>
        <v>Promoted</v>
      </c>
      <c r="K9" s="5" t="str">
        <f t="shared" si="3"/>
        <v>No</v>
      </c>
      <c r="L9" s="5" t="str" cm="1">
        <f t="array" ref="L9">_xlfn.IFS(I9&gt;=85,"O",I9&gt;=70,"A",I9&gt;=50,"B",I9&lt;50,"C")</f>
        <v>B</v>
      </c>
    </row>
    <row r="10" spans="1:12" ht="15.6" x14ac:dyDescent="0.3">
      <c r="A10" s="3">
        <v>106</v>
      </c>
      <c r="B10" s="4" t="s">
        <v>7</v>
      </c>
      <c r="C10" s="3">
        <v>46</v>
      </c>
      <c r="D10" s="3">
        <v>56</v>
      </c>
      <c r="E10" s="3">
        <v>59</v>
      </c>
      <c r="F10" s="3">
        <v>45</v>
      </c>
      <c r="G10" s="3">
        <v>15</v>
      </c>
      <c r="H10" s="3">
        <f t="shared" si="0"/>
        <v>221</v>
      </c>
      <c r="I10" s="3">
        <f t="shared" si="1"/>
        <v>44.2</v>
      </c>
      <c r="J10" s="5" t="str">
        <f t="shared" si="2"/>
        <v>Detained</v>
      </c>
      <c r="K10" s="5" t="str">
        <f t="shared" si="3"/>
        <v>Yes</v>
      </c>
      <c r="L10" s="5" t="str" cm="1">
        <f t="array" ref="L10">_xlfn.IFS(I10&gt;=85,"O",I10&gt;=70,"A",I10&gt;=50,"B",I10&lt;50,"C")</f>
        <v>C</v>
      </c>
    </row>
    <row r="11" spans="1:12" ht="15.6" x14ac:dyDescent="0.3">
      <c r="A11" s="3">
        <v>107</v>
      </c>
      <c r="B11" s="4" t="s">
        <v>8</v>
      </c>
      <c r="C11" s="3">
        <v>25</v>
      </c>
      <c r="D11" s="3">
        <v>20</v>
      </c>
      <c r="E11" s="3">
        <v>37</v>
      </c>
      <c r="F11" s="3">
        <v>20</v>
      </c>
      <c r="G11" s="3">
        <v>82</v>
      </c>
      <c r="H11" s="3">
        <f t="shared" si="0"/>
        <v>184</v>
      </c>
      <c r="I11" s="3">
        <f t="shared" si="1"/>
        <v>36.799999999999997</v>
      </c>
      <c r="J11" s="5" t="str">
        <f t="shared" si="2"/>
        <v>Detained</v>
      </c>
      <c r="K11" s="5" t="str">
        <f t="shared" si="3"/>
        <v>Yes</v>
      </c>
      <c r="L11" s="5" t="str" cm="1">
        <f t="array" ref="L11">_xlfn.IFS(I11&gt;=85,"O",I11&gt;=70,"A",I11&gt;=50,"B",I11&lt;50,"C")</f>
        <v>C</v>
      </c>
    </row>
    <row r="12" spans="1:12" ht="15.6" x14ac:dyDescent="0.3">
      <c r="A12" s="3">
        <v>108</v>
      </c>
      <c r="B12" s="4" t="s">
        <v>9</v>
      </c>
      <c r="C12" s="3">
        <v>68</v>
      </c>
      <c r="D12" s="3">
        <v>59</v>
      </c>
      <c r="E12" s="3">
        <v>91</v>
      </c>
      <c r="F12" s="3">
        <v>68</v>
      </c>
      <c r="G12" s="3">
        <v>89</v>
      </c>
      <c r="H12" s="3">
        <f t="shared" si="0"/>
        <v>375</v>
      </c>
      <c r="I12" s="3">
        <f t="shared" si="1"/>
        <v>75</v>
      </c>
      <c r="J12" s="5" t="str">
        <f t="shared" si="2"/>
        <v>Promoted</v>
      </c>
      <c r="K12" s="5" t="str">
        <f t="shared" si="3"/>
        <v>No</v>
      </c>
      <c r="L12" s="5" t="str" cm="1">
        <f t="array" ref="L12">_xlfn.IFS(I12&gt;=85,"O",I12&gt;=70,"A",I12&gt;=50,"B",I12&lt;50,"C")</f>
        <v>A</v>
      </c>
    </row>
    <row r="13" spans="1:12" ht="15.6" x14ac:dyDescent="0.3">
      <c r="A13" s="3">
        <v>109</v>
      </c>
      <c r="B13" s="4" t="s">
        <v>10</v>
      </c>
      <c r="C13" s="3">
        <v>21</v>
      </c>
      <c r="D13" s="3">
        <v>16</v>
      </c>
      <c r="E13" s="3">
        <v>94</v>
      </c>
      <c r="F13" s="3">
        <v>27</v>
      </c>
      <c r="G13" s="3">
        <v>51</v>
      </c>
      <c r="H13" s="3">
        <f t="shared" si="0"/>
        <v>209</v>
      </c>
      <c r="I13" s="3">
        <f t="shared" si="1"/>
        <v>41.8</v>
      </c>
      <c r="J13" s="5" t="str">
        <f t="shared" si="2"/>
        <v>Detained</v>
      </c>
      <c r="K13" s="5" t="str">
        <f t="shared" si="3"/>
        <v>Yes</v>
      </c>
      <c r="L13" s="5" t="str" cm="1">
        <f t="array" ref="L13">_xlfn.IFS(I13&gt;=85,"O",I13&gt;=70,"A",I13&gt;=50,"B",I13&lt;50,"C")</f>
        <v>C</v>
      </c>
    </row>
    <row r="14" spans="1:12" ht="15.6" x14ac:dyDescent="0.3">
      <c r="A14" s="3">
        <v>110</v>
      </c>
      <c r="B14" s="4" t="s">
        <v>11</v>
      </c>
      <c r="C14" s="3">
        <v>58</v>
      </c>
      <c r="D14" s="3">
        <v>63</v>
      </c>
      <c r="E14" s="3">
        <v>66</v>
      </c>
      <c r="F14" s="3">
        <v>65</v>
      </c>
      <c r="G14" s="3">
        <v>53</v>
      </c>
      <c r="H14" s="3">
        <f t="shared" si="0"/>
        <v>305</v>
      </c>
      <c r="I14" s="3">
        <f t="shared" si="1"/>
        <v>61</v>
      </c>
      <c r="J14" s="5" t="str">
        <f t="shared" si="2"/>
        <v>Promoted</v>
      </c>
      <c r="K14" s="5" t="str">
        <f t="shared" si="3"/>
        <v>No</v>
      </c>
      <c r="L14" s="5" t="str" cm="1">
        <f t="array" ref="L14">_xlfn.IFS(I14&gt;=85,"O",I14&gt;=70,"A",I14&gt;=50,"B",I14&lt;50,"C")</f>
        <v>B</v>
      </c>
    </row>
    <row r="15" spans="1:12" x14ac:dyDescent="0.25">
      <c r="B15" s="2"/>
    </row>
  </sheetData>
  <mergeCells count="1">
    <mergeCell ref="A1:L3"/>
  </mergeCells>
  <conditionalFormatting sqref="C5:G14">
    <cfRule type="cellIs" dxfId="0" priority="1" operator="lessThan">
      <formula>35</formula>
    </cfRule>
  </conditionalFormatting>
  <conditionalFormatting sqref="I5:I1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{AEBBF5AA-2E78-4858-B113-C34CDE0BE6F5}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EBBF5AA-2E78-4858-B113-C34CDE0BE6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I5:I14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Jiya Wadhwani</dc:creator>
  <cp:lastModifiedBy>Jiya Wadhwani</cp:lastModifiedBy>
  <dcterms:created xsi:type="dcterms:W3CDTF">2026-06-10T12:45:12Z</dcterms:created>
  <dcterms:modified xsi:type="dcterms:W3CDTF">2026-07-11T12:59:02Z</dcterms:modified>
</cp:coreProperties>
</file>